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CPST Rating Rubric" sheetId="2" state="visible" r:id="rId2"/>
    <sheet xmlns:r="http://schemas.openxmlformats.org/officeDocument/2006/relationships" name="Assessment Protocol" sheetId="3" state="visible" r:id="rId3"/>
    <sheet xmlns:r="http://schemas.openxmlformats.org/officeDocument/2006/relationships" name="Case Study Results" sheetId="4" state="visible" r:id="rId4"/>
    <sheet xmlns:r="http://schemas.openxmlformats.org/officeDocument/2006/relationships" name="Dataset Coverage" sheetId="5" state="visible" r:id="rId5"/>
    <sheet xmlns:r="http://schemas.openxmlformats.org/officeDocument/2006/relationships" name="Assessment Template" sheetId="6" state="visible" r:id="rId6"/>
    <sheet xmlns:r="http://schemas.openxmlformats.org/officeDocument/2006/relationships" name="Source ID Log (Not PRISMA)"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34">
    <font>
      <name val="Calibri"/>
      <charset val="1"/>
      <family val="2"/>
      <color rgb="FF000000"/>
      <sz val="11"/>
    </font>
    <font>
      <name val="Arial"/>
      <family val="0"/>
      <sz val="10"/>
    </font>
    <font>
      <name val="Arial"/>
      <family val="0"/>
      <sz val="10"/>
    </font>
    <font>
      <name val="Arial"/>
      <family val="0"/>
      <sz val="10"/>
    </font>
    <font>
      <name val="Calibri"/>
      <charset val="1"/>
      <family val="0"/>
      <b val="1"/>
      <color rgb="FF333333"/>
      <sz val="20"/>
    </font>
    <font>
      <name val="Calibri"/>
      <charset val="1"/>
      <family val="0"/>
      <b val="1"/>
      <color rgb="FF0066CC"/>
      <sz val="14"/>
    </font>
    <font>
      <name val="Calibri"/>
      <charset val="1"/>
      <family val="0"/>
      <color rgb="FF666666"/>
      <sz val="11"/>
    </font>
    <font>
      <name val="Calibri"/>
      <charset val="1"/>
      <family val="0"/>
      <i val="1"/>
      <color rgb="FF666666"/>
      <sz val="10"/>
    </font>
    <font>
      <name val="Calibri"/>
      <charset val="1"/>
      <family val="0"/>
      <b val="1"/>
      <color rgb="FF0066CC"/>
      <sz val="13"/>
    </font>
    <font>
      <name val="Calibri"/>
      <charset val="1"/>
      <family val="0"/>
      <b val="1"/>
      <color rgb="FFFFFFFF"/>
      <sz val="11"/>
    </font>
    <font>
      <name val="Calibri"/>
      <charset val="1"/>
      <family val="0"/>
      <b val="1"/>
      <color rgb="FF0066CC"/>
      <sz val="10"/>
    </font>
    <font>
      <name val="Calibri"/>
      <charset val="1"/>
      <family val="0"/>
      <color rgb="FF000000"/>
      <sz val="10"/>
    </font>
    <font>
      <name val="Calibri"/>
      <charset val="1"/>
      <family val="0"/>
      <i val="1"/>
      <color rgb="FF666666"/>
      <sz val="9"/>
    </font>
    <font>
      <name val="Calibri"/>
      <charset val="1"/>
      <family val="0"/>
      <color rgb="FF444444"/>
      <sz val="10"/>
    </font>
    <font>
      <name val="Calibri"/>
      <charset val="1"/>
      <family val="0"/>
      <b val="1"/>
      <color rgb="FF0066CC"/>
      <sz val="12"/>
    </font>
    <font>
      <name val="Calibri"/>
      <charset val="1"/>
      <family val="0"/>
      <b val="1"/>
      <color rgb="FF333333"/>
      <sz val="16"/>
    </font>
    <font>
      <name val="Calibri"/>
      <charset val="1"/>
      <family val="0"/>
      <b val="1"/>
      <color rgb="FF000000"/>
      <sz val="10"/>
    </font>
    <font>
      <name val="Calibri"/>
      <charset val="1"/>
      <family val="0"/>
      <b val="1"/>
      <color rgb="FF0066CC"/>
      <sz val="11"/>
    </font>
    <font>
      <name val="Calibri"/>
      <charset val="1"/>
      <family val="0"/>
      <b val="1"/>
      <sz val="10"/>
    </font>
    <font>
      <name val="Calibri"/>
      <family val="2"/>
      <b val="1"/>
      <color rgb="FF000000"/>
      <sz val="18"/>
    </font>
    <font>
      <name val="Calibri"/>
      <family val="2"/>
      <color rgb="FF000000"/>
      <sz val="10"/>
    </font>
    <font>
      <name val="Calibri"/>
      <family val="2"/>
      <b val="1"/>
      <color rgb="FF000000"/>
      <sz val="10"/>
    </font>
    <font>
      <name val="Calibri"/>
      <charset val="1"/>
      <family val="0"/>
      <b val="1"/>
      <color rgb="FF006600"/>
      <sz val="10"/>
    </font>
    <font>
      <name val="Calibri"/>
      <charset val="1"/>
      <family val="0"/>
      <sz val="10"/>
    </font>
    <font>
      <name val="Calibri"/>
      <charset val="1"/>
      <family val="0"/>
      <b val="1"/>
      <color rgb="FFCC0000"/>
      <sz val="10"/>
    </font>
    <font>
      <name val="Calibri"/>
      <charset val="1"/>
      <family val="0"/>
      <color rgb="FFCC6600"/>
      <sz val="10"/>
    </font>
    <font>
      <name val="Calibri"/>
      <charset val="1"/>
      <family val="0"/>
      <color rgb="FF666666"/>
      <sz val="9"/>
    </font>
    <font>
      <name val="Calibri"/>
      <charset val="1"/>
      <family val="0"/>
      <b val="1"/>
      <sz val="11"/>
    </font>
    <font>
      <b val="1"/>
    </font>
    <font>
      <b val="1"/>
      <sz val="14"/>
    </font>
    <font>
      <b val="1"/>
      <sz val="12"/>
    </font>
    <font>
      <sz val="10"/>
    </font>
    <font>
      <i val="1"/>
      <sz val="9"/>
    </font>
    <font>
      <i val="1"/>
      <sz val="10"/>
    </font>
  </fonts>
  <fills count="11">
    <fill>
      <patternFill/>
    </fill>
    <fill>
      <patternFill patternType="gray125"/>
    </fill>
    <fill>
      <patternFill patternType="solid">
        <fgColor rgb="FFFFFFFF"/>
        <bgColor rgb="FFF9F9F9"/>
      </patternFill>
    </fill>
    <fill>
      <patternFill patternType="solid">
        <fgColor rgb="FF333333"/>
        <bgColor rgb="FF444444"/>
      </patternFill>
    </fill>
    <fill>
      <patternFill patternType="solid">
        <fgColor rgb="FFE6F0FA"/>
        <bgColor rgb="FFF5F5F5"/>
      </patternFill>
    </fill>
    <fill>
      <patternFill patternType="solid">
        <fgColor rgb="FFF5F5F5"/>
        <bgColor rgb="FFF9F9F9"/>
      </patternFill>
    </fill>
    <fill>
      <patternFill patternType="solid">
        <fgColor rgb="FFFFF8E1"/>
        <bgColor rgb="FFF9F9F9"/>
      </patternFill>
    </fill>
    <fill>
      <patternFill patternType="solid">
        <fgColor rgb="00D6EAF8"/>
        <bgColor rgb="00D6EAF8"/>
      </patternFill>
    </fill>
    <fill>
      <patternFill patternType="solid">
        <fgColor rgb="00EAEDED"/>
        <bgColor rgb="00EAEDED"/>
      </patternFill>
    </fill>
    <fill>
      <patternFill patternType="solid">
        <fgColor rgb="00D5F5E3"/>
        <bgColor rgb="00D5F5E3"/>
      </patternFill>
    </fill>
    <fill>
      <patternFill patternType="solid">
        <fgColor rgb="FFD9D9D9"/>
        <bgColor rgb="FFD9D9D9"/>
      </patternFill>
    </fill>
  </fills>
  <borders count="19">
    <border>
      <left/>
      <right/>
      <top/>
      <bottom/>
      <diagonal/>
    </border>
    <border>
      <left style="thin">
        <color rgb="FFD0D0D0"/>
      </left>
      <right style="thin">
        <color rgb="FFD0D0D0"/>
      </right>
      <top style="thin">
        <color rgb="FFD0D0D0"/>
      </top>
      <bottom style="thin">
        <color rgb="FFD0D0D0"/>
      </bottom>
      <diagonal/>
    </border>
    <border>
      <left style="medium">
        <color rgb="FF0066CC"/>
      </left>
      <right style="medium">
        <color rgb="FF0066CC"/>
      </right>
      <top style="medium">
        <color rgb="FF0066CC"/>
      </top>
      <bottom style="medium">
        <color rgb="FF0066CC"/>
      </bottom>
      <diagonal/>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right style="thin"/>
      <top style="thin"/>
      <bottom style="thin"/>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style="thin"/>
      <top style="thin"/>
      <bottom style="thin"/>
      <diagonal/>
    </border>
    <border>
      <left/>
      <right/>
      <top style="medium">
        <color rgb="FF0066CC"/>
      </top>
      <bottom/>
      <diagonal/>
    </border>
    <border>
      <left/>
      <right style="medium">
        <color rgb="FF0066CC"/>
      </right>
      <top style="medium">
        <color rgb="FF0066CC"/>
      </top>
      <bottom/>
      <diagonal/>
    </border>
    <border>
      <left/>
      <right/>
      <top style="medium">
        <color rgb="FF0066CC"/>
      </top>
      <bottom style="medium">
        <color rgb="FF0066CC"/>
      </bottom>
      <diagonal/>
    </border>
    <border>
      <left/>
      <right style="medium">
        <color rgb="FF0066CC"/>
      </right>
      <top style="medium">
        <color rgb="FF0066CC"/>
      </top>
      <bottom style="medium">
        <color rgb="FF0066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8">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center" vertical="center"/>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xf>
    <xf numFmtId="0" fontId="0" fillId="3" borderId="0" applyAlignment="1" pivotButton="0" quotePrefix="0" xfId="0">
      <alignment horizontal="general" vertical="bottom"/>
    </xf>
    <xf numFmtId="0" fontId="8" fillId="2" borderId="0" applyAlignment="1" pivotButton="0" quotePrefix="0" xfId="0">
      <alignment horizontal="center" vertical="center"/>
    </xf>
    <xf numFmtId="0" fontId="9" fillId="3" borderId="1" applyAlignment="1" pivotButton="0" quotePrefix="0" xfId="0">
      <alignment horizontal="center" vertical="center"/>
    </xf>
    <xf numFmtId="0" fontId="10" fillId="2" borderId="1" applyAlignment="1" pivotButton="0" quotePrefix="0" xfId="0">
      <alignment horizontal="general" vertical="top" wrapText="1"/>
    </xf>
    <xf numFmtId="0" fontId="11" fillId="2" borderId="1" applyAlignment="1" pivotButton="0" quotePrefix="0" xfId="0">
      <alignment horizontal="general" vertical="top" wrapText="1"/>
    </xf>
    <xf numFmtId="0" fontId="12" fillId="2" borderId="1" applyAlignment="1" pivotButton="0" quotePrefix="0" xfId="0">
      <alignment horizontal="general" vertical="top" wrapText="1"/>
    </xf>
    <xf numFmtId="0" fontId="13" fillId="2" borderId="0" applyAlignment="1" pivotButton="0" quotePrefix="0" xfId="0">
      <alignment horizontal="general" vertical="center" wrapText="1"/>
    </xf>
    <xf numFmtId="0" fontId="14" fillId="2" borderId="0" applyAlignment="1" pivotButton="0" quotePrefix="0" xfId="0">
      <alignment horizontal="center" vertical="center"/>
    </xf>
    <xf numFmtId="0" fontId="12" fillId="2" borderId="0" applyAlignment="1" pivotButton="0" quotePrefix="0" xfId="0">
      <alignment horizontal="center" vertical="center" wrapText="1"/>
    </xf>
    <xf numFmtId="0" fontId="15" fillId="0" borderId="0" applyAlignment="1" pivotButton="0" quotePrefix="0" xfId="0">
      <alignment horizontal="general" vertical="center"/>
    </xf>
    <xf numFmtId="0" fontId="12" fillId="0" borderId="0" applyAlignment="1" pivotButton="0" quotePrefix="0" xfId="0">
      <alignment horizontal="general" vertical="center"/>
    </xf>
    <xf numFmtId="0" fontId="14" fillId="4" borderId="0" applyAlignment="1" pivotButton="0" quotePrefix="0" xfId="0">
      <alignment horizontal="general" vertical="center"/>
    </xf>
    <xf numFmtId="0" fontId="16" fillId="0" borderId="1" applyAlignment="1" pivotButton="0" quotePrefix="0" xfId="0">
      <alignment horizontal="general" vertical="center" wrapText="1"/>
    </xf>
    <xf numFmtId="0" fontId="11" fillId="0" borderId="1" applyAlignment="1" pivotButton="0" quotePrefix="0" xfId="0">
      <alignment horizontal="general" vertical="center" wrapText="1"/>
    </xf>
    <xf numFmtId="0" fontId="17" fillId="5" borderId="0" applyAlignment="1" pivotButton="0" quotePrefix="0" xfId="0">
      <alignment horizontal="general" vertical="center"/>
    </xf>
    <xf numFmtId="0" fontId="9" fillId="3" borderId="1" applyAlignment="1" pivotButton="0" quotePrefix="0" xfId="0">
      <alignment horizontal="center" vertical="center" wrapText="1"/>
    </xf>
    <xf numFmtId="0" fontId="18"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7" fillId="0" borderId="1" applyAlignment="1" pivotButton="0" quotePrefix="0" xfId="0">
      <alignment horizontal="general" vertical="top" wrapText="1"/>
    </xf>
    <xf numFmtId="164" fontId="11" fillId="0" borderId="1" applyAlignment="1" pivotButton="0" quotePrefix="0" xfId="0">
      <alignment horizontal="general" vertical="top" wrapText="1"/>
    </xf>
    <xf numFmtId="0" fontId="10" fillId="4" borderId="1" applyAlignment="1" pivotButton="0" quotePrefix="0" xfId="0">
      <alignment horizontal="center" vertical="center"/>
    </xf>
    <xf numFmtId="164" fontId="18" fillId="4" borderId="1" applyAlignment="1" pivotButton="0" quotePrefix="0" xfId="0">
      <alignment horizontal="center" vertical="center"/>
    </xf>
    <xf numFmtId="0" fontId="0" fillId="0" borderId="1" applyAlignment="1" pivotButton="0" quotePrefix="0" xfId="0">
      <alignment horizontal="center" vertical="center"/>
    </xf>
    <xf numFmtId="0" fontId="9" fillId="3" borderId="0" applyAlignment="1" pivotButton="0" quotePrefix="0" xfId="0">
      <alignment horizontal="center" vertical="bottom"/>
    </xf>
    <xf numFmtId="0" fontId="11" fillId="0" borderId="1" applyAlignment="1" pivotButton="0" quotePrefix="0" xfId="0">
      <alignment horizontal="center" vertical="bottom"/>
    </xf>
    <xf numFmtId="0" fontId="10" fillId="0" borderId="1" applyAlignment="1" pivotButton="0" quotePrefix="0" xfId="0">
      <alignment horizontal="general" vertical="top" wrapText="1"/>
    </xf>
    <xf numFmtId="0" fontId="22" fillId="0" borderId="1" applyAlignment="1" pivotButton="0" quotePrefix="0" xfId="0">
      <alignment horizontal="general" vertical="top" wrapText="1"/>
    </xf>
    <xf numFmtId="0" fontId="23" fillId="0" borderId="1" applyAlignment="1" pivotButton="0" quotePrefix="0" xfId="0">
      <alignment horizontal="general" vertical="top" wrapText="1"/>
    </xf>
    <xf numFmtId="0" fontId="0" fillId="0" borderId="1" applyAlignment="1" pivotButton="0" quotePrefix="0" xfId="0">
      <alignment horizontal="general" vertical="top" wrapText="1"/>
    </xf>
    <xf numFmtId="0" fontId="24" fillId="0" borderId="1" applyAlignment="1" pivotButton="0" quotePrefix="0" xfId="0">
      <alignment horizontal="general" vertical="top" wrapText="1"/>
    </xf>
    <xf numFmtId="0" fontId="25" fillId="0" borderId="1" applyAlignment="1" pivotButton="0" quotePrefix="0" xfId="0">
      <alignment horizontal="general" vertical="top" wrapText="1"/>
    </xf>
    <xf numFmtId="0" fontId="18"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26" fillId="0" borderId="0" applyAlignment="1" pivotButton="0" quotePrefix="0" xfId="0">
      <alignment horizontal="general" vertical="bottom"/>
    </xf>
    <xf numFmtId="0" fontId="18" fillId="0" borderId="1" applyAlignment="1" pivotButton="0" quotePrefix="0" xfId="0">
      <alignment horizontal="general" vertical="center"/>
    </xf>
    <xf numFmtId="0" fontId="11" fillId="0" borderId="1" applyAlignment="1" pivotButton="0" quotePrefix="0" xfId="0">
      <alignment horizontal="general" vertical="center"/>
    </xf>
    <xf numFmtId="0" fontId="12" fillId="6" borderId="0" applyAlignment="1" pivotButton="0" quotePrefix="0" xfId="0">
      <alignment horizontal="general" vertical="center" wrapText="1"/>
    </xf>
    <xf numFmtId="2" fontId="11" fillId="0" borderId="1" applyAlignment="1" pivotButton="0" quotePrefix="0" xfId="0">
      <alignment horizontal="general" vertical="center" wrapText="1"/>
    </xf>
    <xf numFmtId="0" fontId="10" fillId="4" borderId="1" applyAlignment="1" pivotButton="0" quotePrefix="0" xfId="0">
      <alignment horizontal="general" vertical="bottom"/>
    </xf>
    <xf numFmtId="0" fontId="0" fillId="4" borderId="1" applyAlignment="1" pivotButton="0" quotePrefix="0" xfId="0">
      <alignment horizontal="general" vertical="bottom"/>
    </xf>
    <xf numFmtId="0" fontId="18" fillId="4" borderId="1" applyAlignment="1" pivotButton="0" quotePrefix="0" xfId="0">
      <alignment horizontal="right" vertical="bottom"/>
    </xf>
    <xf numFmtId="0" fontId="10" fillId="4" borderId="1" applyAlignment="1" pivotButton="0" quotePrefix="0" xfId="0">
      <alignment horizontal="center" vertical="bottom"/>
    </xf>
    <xf numFmtId="2" fontId="10" fillId="4" borderId="1" applyAlignment="1" pivotButton="0" quotePrefix="0" xfId="0">
      <alignment horizontal="general" vertical="bottom"/>
    </xf>
    <xf numFmtId="0" fontId="0" fillId="0" borderId="1" applyAlignment="1" pivotButton="0" quotePrefix="0" xfId="0">
      <alignment horizontal="general" vertical="center" wrapText="1"/>
    </xf>
    <xf numFmtId="0" fontId="17" fillId="4" borderId="2" applyAlignment="1" pivotButton="0" quotePrefix="0" xfId="0">
      <alignment horizontal="general" vertical="bottom"/>
    </xf>
    <xf numFmtId="0" fontId="14" fillId="4" borderId="2" applyAlignment="1" pivotButton="0" quotePrefix="0" xfId="0">
      <alignment horizontal="center" vertical="bottom"/>
    </xf>
    <xf numFmtId="0" fontId="27" fillId="4" borderId="2" applyAlignment="1" pivotButton="0" quotePrefix="0" xfId="0">
      <alignment horizontal="center" vertical="bottom"/>
    </xf>
    <xf numFmtId="0" fontId="0" fillId="4" borderId="2"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2" borderId="0" applyAlignment="1" pivotButton="0" quotePrefix="0" xfId="0">
      <alignment horizontal="center" vertical="center"/>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xf>
    <xf numFmtId="0" fontId="0" fillId="3" borderId="0" applyAlignment="1" pivotButton="0" quotePrefix="0" xfId="0">
      <alignment horizontal="general" vertical="bottom"/>
    </xf>
    <xf numFmtId="0" fontId="8" fillId="2" borderId="0" applyAlignment="1" pivotButton="0" quotePrefix="0" xfId="0">
      <alignment horizontal="center" vertical="center"/>
    </xf>
    <xf numFmtId="0" fontId="9" fillId="3" borderId="1" applyAlignment="1" pivotButton="0" quotePrefix="0" xfId="0">
      <alignment horizontal="center" vertical="center"/>
    </xf>
    <xf numFmtId="0" fontId="0" fillId="0" borderId="5" pivotButton="0" quotePrefix="0" xfId="0"/>
    <xf numFmtId="0" fontId="0" fillId="0" borderId="6" pivotButton="0" quotePrefix="0" xfId="0"/>
    <xf numFmtId="0" fontId="10" fillId="2" borderId="1" applyAlignment="1" pivotButton="0" quotePrefix="0" xfId="0">
      <alignment horizontal="general" vertical="top" wrapText="1"/>
    </xf>
    <xf numFmtId="0" fontId="11" fillId="2" borderId="1" applyAlignment="1" pivotButton="0" quotePrefix="0" xfId="0">
      <alignment horizontal="general" vertical="top" wrapText="1"/>
    </xf>
    <xf numFmtId="0" fontId="12" fillId="2" borderId="1" applyAlignment="1" pivotButton="0" quotePrefix="0" xfId="0">
      <alignment horizontal="general" vertical="top" wrapText="1"/>
    </xf>
    <xf numFmtId="0" fontId="13" fillId="2" borderId="0" applyAlignment="1" pivotButton="0" quotePrefix="0" xfId="0">
      <alignment horizontal="general" vertical="center" wrapText="1"/>
    </xf>
    <xf numFmtId="0" fontId="14" fillId="2" borderId="0" applyAlignment="1" pivotButton="0" quotePrefix="0" xfId="0">
      <alignment horizontal="center" vertical="center"/>
    </xf>
    <xf numFmtId="0" fontId="12" fillId="2" borderId="0" applyAlignment="1" pivotButton="0" quotePrefix="0" xfId="0">
      <alignment horizontal="center" vertical="center" wrapText="1"/>
    </xf>
    <xf numFmtId="0" fontId="15" fillId="0" borderId="0" applyAlignment="1" pivotButton="0" quotePrefix="0" xfId="0">
      <alignment horizontal="general" vertical="center"/>
    </xf>
    <xf numFmtId="0" fontId="12" fillId="0" borderId="0" applyAlignment="1" pivotButton="0" quotePrefix="0" xfId="0">
      <alignment horizontal="general" vertical="center"/>
    </xf>
    <xf numFmtId="0" fontId="14" fillId="4" borderId="0" applyAlignment="1" pivotButton="0" quotePrefix="0" xfId="0">
      <alignment horizontal="general" vertical="center"/>
    </xf>
    <xf numFmtId="0" fontId="16" fillId="0" borderId="1" applyAlignment="1" pivotButton="0" quotePrefix="0" xfId="0">
      <alignment horizontal="general" vertical="center" wrapText="1"/>
    </xf>
    <xf numFmtId="0" fontId="11" fillId="0" borderId="1" applyAlignment="1" pivotButton="0" quotePrefix="0" xfId="0">
      <alignment horizontal="general" vertical="center" wrapText="1"/>
    </xf>
    <xf numFmtId="0" fontId="17" fillId="5" borderId="0" applyAlignment="1" pivotButton="0" quotePrefix="0" xfId="0">
      <alignment horizontal="general" vertical="center"/>
    </xf>
    <xf numFmtId="0" fontId="9" fillId="3" borderId="1" applyAlignment="1" pivotButton="0" quotePrefix="0" xfId="0">
      <alignment horizontal="center" vertical="center" wrapText="1"/>
    </xf>
    <xf numFmtId="0" fontId="18"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7" fillId="0" borderId="1" applyAlignment="1" pivotButton="0" quotePrefix="0" xfId="0">
      <alignment horizontal="general" vertical="top" wrapText="1"/>
    </xf>
    <xf numFmtId="164" fontId="11" fillId="0" borderId="1" applyAlignment="1" pivotButton="0" quotePrefix="0" xfId="0">
      <alignment horizontal="general" vertical="top" wrapText="1"/>
    </xf>
    <xf numFmtId="0" fontId="10" fillId="4" borderId="1" applyAlignment="1" pivotButton="0" quotePrefix="0" xfId="0">
      <alignment horizontal="center" vertical="center"/>
    </xf>
    <xf numFmtId="164" fontId="18" fillId="4" borderId="1" applyAlignment="1" pivotButton="0" quotePrefix="0" xfId="0">
      <alignment horizontal="center" vertical="center"/>
    </xf>
    <xf numFmtId="0" fontId="0" fillId="0" borderId="1" applyAlignment="1" pivotButton="0" quotePrefix="0" xfId="0">
      <alignment horizontal="center" vertical="center"/>
    </xf>
    <xf numFmtId="0" fontId="9" fillId="3" borderId="0" applyAlignment="1" pivotButton="0" quotePrefix="0" xfId="0">
      <alignment horizontal="center" vertical="bottom"/>
    </xf>
    <xf numFmtId="0" fontId="11" fillId="0" borderId="1" applyAlignment="1" pivotButton="0" quotePrefix="0" xfId="0">
      <alignment horizontal="center" vertical="bottom"/>
    </xf>
    <xf numFmtId="0" fontId="10" fillId="0" borderId="1" applyAlignment="1" pivotButton="0" quotePrefix="0" xfId="0">
      <alignment horizontal="general" vertical="top" wrapText="1"/>
    </xf>
    <xf numFmtId="0" fontId="22" fillId="0" borderId="1" applyAlignment="1" pivotButton="0" quotePrefix="0" xfId="0">
      <alignment horizontal="general" vertical="top" wrapText="1"/>
    </xf>
    <xf numFmtId="0" fontId="23" fillId="0" borderId="1" applyAlignment="1" pivotButton="0" quotePrefix="0" xfId="0">
      <alignment horizontal="general" vertical="top" wrapText="1"/>
    </xf>
    <xf numFmtId="0" fontId="0" fillId="0" borderId="1" applyAlignment="1" pivotButton="0" quotePrefix="0" xfId="0">
      <alignment horizontal="general" vertical="top" wrapText="1"/>
    </xf>
    <xf numFmtId="0" fontId="24" fillId="0" borderId="1" applyAlignment="1" pivotButton="0" quotePrefix="0" xfId="0">
      <alignment horizontal="general" vertical="top" wrapText="1"/>
    </xf>
    <xf numFmtId="0" fontId="25" fillId="0" borderId="1" applyAlignment="1" pivotButton="0" quotePrefix="0" xfId="0">
      <alignment horizontal="general" vertical="top" wrapText="1"/>
    </xf>
    <xf numFmtId="0" fontId="18"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26" fillId="0" borderId="0" applyAlignment="1" pivotButton="0" quotePrefix="0" xfId="0">
      <alignment horizontal="general" vertical="bottom"/>
    </xf>
    <xf numFmtId="0" fontId="18" fillId="0" borderId="1" applyAlignment="1" pivotButton="0" quotePrefix="0" xfId="0">
      <alignment horizontal="general" vertical="center"/>
    </xf>
    <xf numFmtId="0" fontId="11" fillId="0" borderId="1" applyAlignment="1" pivotButton="0" quotePrefix="0" xfId="0">
      <alignment horizontal="general" vertical="center"/>
    </xf>
    <xf numFmtId="0" fontId="12" fillId="6" borderId="0" applyAlignment="1" pivotButton="0" quotePrefix="0" xfId="0">
      <alignment horizontal="general" vertical="center" wrapText="1"/>
    </xf>
    <xf numFmtId="2" fontId="11" fillId="0" borderId="1" applyAlignment="1" pivotButton="0" quotePrefix="0" xfId="0">
      <alignment horizontal="general" vertical="center" wrapText="1"/>
    </xf>
    <xf numFmtId="0" fontId="10" fillId="4" borderId="1" applyAlignment="1" pivotButton="0" quotePrefix="0" xfId="0">
      <alignment horizontal="general" vertical="bottom"/>
    </xf>
    <xf numFmtId="0" fontId="0" fillId="4" borderId="1" applyAlignment="1" pivotButton="0" quotePrefix="0" xfId="0">
      <alignment horizontal="general" vertical="bottom"/>
    </xf>
    <xf numFmtId="0" fontId="18" fillId="4" borderId="1" applyAlignment="1" pivotButton="0" quotePrefix="0" xfId="0">
      <alignment horizontal="right" vertical="bottom"/>
    </xf>
    <xf numFmtId="0" fontId="10" fillId="4" borderId="1" applyAlignment="1" pivotButton="0" quotePrefix="0" xfId="0">
      <alignment horizontal="center" vertical="bottom"/>
    </xf>
    <xf numFmtId="2" fontId="10" fillId="4" borderId="1" applyAlignment="1" pivotButton="0" quotePrefix="0" xfId="0">
      <alignment horizontal="general" vertical="bottom"/>
    </xf>
    <xf numFmtId="0" fontId="0" fillId="0" borderId="1" applyAlignment="1" pivotButton="0" quotePrefix="0" xfId="0">
      <alignment horizontal="general" vertical="center" wrapText="1"/>
    </xf>
    <xf numFmtId="0" fontId="17" fillId="4" borderId="2" applyAlignment="1" pivotButton="0" quotePrefix="0" xfId="0">
      <alignment horizontal="general" vertical="bottom"/>
    </xf>
    <xf numFmtId="0" fontId="14" fillId="4" borderId="2" applyAlignment="1" pivotButton="0" quotePrefix="0" xfId="0">
      <alignment horizontal="center" vertical="bottom"/>
    </xf>
    <xf numFmtId="0" fontId="27" fillId="4" borderId="2" applyAlignment="1" pivotButton="0" quotePrefix="0" xfId="0">
      <alignment horizontal="center" vertical="bottom"/>
    </xf>
    <xf numFmtId="0" fontId="0" fillId="4" borderId="2" applyAlignment="1" pivotButton="0" quotePrefix="0" xfId="0">
      <alignment horizontal="general" vertical="bottom"/>
    </xf>
    <xf numFmtId="0" fontId="28" fillId="3" borderId="1" applyAlignment="1" pivotButton="0" quotePrefix="0" xfId="0">
      <alignment horizontal="center" vertical="center" wrapText="1"/>
    </xf>
    <xf numFmtId="0" fontId="29" fillId="0" borderId="0" applyAlignment="1" pivotButton="0" quotePrefix="0" xfId="0">
      <alignment horizontal="center" vertical="center" wrapText="1"/>
    </xf>
    <xf numFmtId="0" fontId="30" fillId="7" borderId="7" applyAlignment="1" pivotButton="0" quotePrefix="0" xfId="0">
      <alignment horizontal="center" vertical="center" wrapText="1"/>
    </xf>
    <xf numFmtId="0" fontId="31" fillId="0" borderId="7" applyAlignment="1" pivotButton="0" quotePrefix="0" xfId="0">
      <alignment horizontal="left" vertical="center" wrapText="1"/>
    </xf>
    <xf numFmtId="0" fontId="32" fillId="0" borderId="0" applyAlignment="1" pivotButton="0" quotePrefix="0" xfId="0">
      <alignment horizontal="center" vertical="center" wrapText="1"/>
    </xf>
    <xf numFmtId="0" fontId="31" fillId="8" borderId="7" applyAlignment="1" pivotButton="0" quotePrefix="0" xfId="0">
      <alignment horizontal="left" vertical="center" wrapText="1"/>
    </xf>
    <xf numFmtId="0" fontId="30" fillId="9" borderId="7" applyAlignment="1" pivotButton="0" quotePrefix="0" xfId="0">
      <alignment horizontal="center" vertical="center" wrapText="1"/>
    </xf>
    <xf numFmtId="0" fontId="31" fillId="9" borderId="7" applyAlignment="1" pivotButton="0" quotePrefix="0" xfId="0">
      <alignment horizontal="left" vertical="center" wrapText="1"/>
    </xf>
    <xf numFmtId="0" fontId="32" fillId="0" borderId="0" applyAlignment="1" pivotButton="0" quotePrefix="0" xfId="0">
      <alignment horizontal="left" vertical="top" wrapText="1"/>
    </xf>
    <xf numFmtId="0" fontId="0" fillId="0" borderId="14" pivotButton="0" quotePrefix="0" xfId="0"/>
    <xf numFmtId="0" fontId="0" fillId="0" borderId="10" pivotButton="0" quotePrefix="0" xfId="0"/>
    <xf numFmtId="0" fontId="0" fillId="0" borderId="9" pivotButton="0" quotePrefix="0" xfId="0"/>
    <xf numFmtId="0" fontId="0" fillId="0" borderId="11" pivotButton="0" quotePrefix="0" xfId="0"/>
    <xf numFmtId="0" fontId="0" fillId="0" borderId="12" pivotButton="0" quotePrefix="0" xfId="0"/>
    <xf numFmtId="0" fontId="0" fillId="0" borderId="13" pivotButton="0" quotePrefix="0" xfId="0"/>
    <xf numFmtId="0" fontId="33" fillId="0" borderId="0" pivotButton="0" quotePrefix="0" xfId="0"/>
    <xf numFmtId="0" fontId="29" fillId="0" borderId="0" applyAlignment="1" pivotButton="0" quotePrefix="0" xfId="0">
      <alignment horizontal="general" vertical="bottom"/>
    </xf>
    <xf numFmtId="0" fontId="28" fillId="0" borderId="0" applyAlignment="1" pivotButton="0" quotePrefix="0" xfId="0">
      <alignment horizontal="general" vertical="bottom"/>
    </xf>
    <xf numFmtId="0" fontId="28" fillId="0" borderId="0" pivotButton="0" quotePrefix="0" xfId="0"/>
    <xf numFmtId="0" fontId="16" fillId="10" borderId="1" applyAlignment="1" pivotButton="0" quotePrefix="0" xfId="0">
      <alignment horizontal="general" vertical="center" wrapText="1"/>
    </xf>
    <xf numFmtId="0" fontId="11" fillId="10" borderId="1" applyAlignment="1" pivotButton="0" quotePrefix="0" xfId="0">
      <alignment horizontal="general" vertical="center" wrapText="1"/>
    </xf>
    <xf numFmtId="0" fontId="9" fillId="0" borderId="1" applyAlignment="1" pivotButton="0" quotePrefix="0" xfId="0">
      <alignment horizontal="center" vertical="center" wrapText="1"/>
    </xf>
    <xf numFmtId="0" fontId="0" fillId="0" borderId="17" pivotButton="0" quotePrefix="0" xfId="0"/>
    <xf numFmtId="0" fontId="0" fillId="0" borderId="18"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C0000"/>
      <rgbColor rgb="FF00FF00"/>
      <rgbColor rgb="FF0000FF"/>
      <rgbColor rgb="FFFFFF00"/>
      <rgbColor rgb="FFFF00FF"/>
      <rgbColor rgb="FF00FFFF"/>
      <rgbColor rgb="FF800000"/>
      <rgbColor rgb="FF006600"/>
      <rgbColor rgb="FF000080"/>
      <rgbColor rgb="FF808000"/>
      <rgbColor rgb="FF800080"/>
      <rgbColor rgb="FF008080"/>
      <rgbColor rgb="FFBBBBBB"/>
      <rgbColor rgb="FF878787"/>
      <rgbColor rgb="FF9999FF"/>
      <rgbColor rgb="FF993366"/>
      <rgbColor rgb="FFFFF8E1"/>
      <rgbColor rgb="FFE6F0F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5F5F5"/>
      <rgbColor rgb="FFF9F9F9"/>
      <rgbColor rgb="FFFFFF99"/>
      <rgbColor rgb="FF99CCFF"/>
      <rgbColor rgb="FFFF99CC"/>
      <rgbColor rgb="FFCC99FF"/>
      <rgbColor rgb="FFD9D9D9"/>
      <rgbColor rgb="FF4A90D9"/>
      <rgbColor rgb="FF33CCCC"/>
      <rgbColor rgb="FF99CC00"/>
      <rgbColor rgb="FFFFCC00"/>
      <rgbColor rgb="FFFF9900"/>
      <rgbColor rgb="FFCC6600"/>
      <rgbColor rgb="FF666666"/>
      <rgbColor rgb="FF999999"/>
      <rgbColor rgb="FF003366"/>
      <rgbColor rgb="FF339966"/>
      <rgbColor rgb="FF003300"/>
      <rgbColor rgb="FF444444"/>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CPST Ratings by Country and Dimension</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'Case Study Results'!C14</f>
              <strCache>
                <ptCount val="1"/>
                <pt idx="0">
                  <v>Ghana</v>
                </pt>
              </strCache>
            </strRef>
          </tx>
          <spPr>
            <a:solidFill xmlns:a="http://schemas.openxmlformats.org/drawingml/2006/main">
              <a:srgbClr val="333333"/>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'Case Study Results'!$B$15:$B$18</f>
              <strCache>
                <ptCount val="4"/>
                <pt idx="0">
                  <v>Cyber</v>
                </pt>
                <pt idx="1">
                  <v>Physical</v>
                </pt>
                <pt idx="2">
                  <v>Social</v>
                </pt>
                <pt idx="3">
                  <v>Thinking</v>
                </pt>
              </strCache>
            </strRef>
          </cat>
          <val>
            <numRef>
              <f>'Case Study Results'!$C$15:$C$18</f>
              <numCache>
                <formatCode>General</formatCode>
                <ptCount val="4"/>
                <pt idx="0">
                  <v>6</v>
                </pt>
                <pt idx="1">
                  <v>2</v>
                </pt>
                <pt idx="2">
                  <v>2</v>
                </pt>
                <pt idx="3">
                  <v>1</v>
                </pt>
              </numCache>
            </numRef>
          </val>
        </ser>
        <ser>
          <idx val="1"/>
          <order val="1"/>
          <tx>
            <strRef>
              <f>'Case Study Results'!D14</f>
              <strCache>
                <ptCount val="1"/>
                <pt idx="0">
                  <v>Nigeria</v>
                </pt>
              </strCache>
            </strRef>
          </tx>
          <spPr>
            <a:solidFill xmlns:a="http://schemas.openxmlformats.org/drawingml/2006/main">
              <a:srgbClr val="0066cc"/>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'Case Study Results'!$B$15:$B$18</f>
              <strCache>
                <ptCount val="4"/>
                <pt idx="0">
                  <v>Cyber</v>
                </pt>
                <pt idx="1">
                  <v>Physical</v>
                </pt>
                <pt idx="2">
                  <v>Social</v>
                </pt>
                <pt idx="3">
                  <v>Thinking</v>
                </pt>
              </strCache>
            </strRef>
          </cat>
          <val>
            <numRef>
              <f>'Case Study Results'!$D$15:$D$18</f>
              <numCache>
                <formatCode>General</formatCode>
                <ptCount val="4"/>
                <pt idx="0">
                  <v>6</v>
                </pt>
                <pt idx="1">
                  <v>3</v>
                </pt>
                <pt idx="2">
                  <v>6</v>
                </pt>
                <pt idx="3">
                  <v>6</v>
                </pt>
              </numCache>
            </numRef>
          </val>
        </ser>
        <ser>
          <idx val="2"/>
          <order val="2"/>
          <tx>
            <strRef>
              <f>'Case Study Results'!E14</f>
              <strCache>
                <ptCount val="1"/>
                <pt idx="0">
                  <v>Ethiopia</v>
                </pt>
              </strCache>
            </strRef>
          </tx>
          <spPr>
            <a:solidFill xmlns:a="http://schemas.openxmlformats.org/drawingml/2006/main">
              <a:srgbClr val="4a90d9"/>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'Case Study Results'!$B$15:$B$18</f>
              <strCache>
                <ptCount val="4"/>
                <pt idx="0">
                  <v>Cyber</v>
                </pt>
                <pt idx="1">
                  <v>Physical</v>
                </pt>
                <pt idx="2">
                  <v>Social</v>
                </pt>
                <pt idx="3">
                  <v>Thinking</v>
                </pt>
              </strCache>
            </strRef>
          </cat>
          <val>
            <numRef>
              <f>'Case Study Results'!$E$15:$E$18</f>
              <numCache>
                <formatCode>General</formatCode>
                <ptCount val="4"/>
                <pt idx="0">
                  <v>5</v>
                </pt>
                <pt idx="1">
                  <v>5</v>
                </pt>
                <pt idx="2">
                  <v>5</v>
                </pt>
                <pt idx="3">
                  <v>6</v>
                </pt>
              </numCache>
            </numRef>
          </val>
        </ser>
        <ser>
          <idx val="3"/>
          <order val="3"/>
          <tx>
            <strRef>
              <f>'Case Study Results'!F14</f>
              <strCache>
                <ptCount val="1"/>
                <pt idx="0">
                  <v>South Africa</v>
                </pt>
              </strCache>
            </strRef>
          </tx>
          <spPr>
            <a:solidFill xmlns:a="http://schemas.openxmlformats.org/drawingml/2006/main">
              <a:srgbClr val="999999"/>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'Case Study Results'!$B$15:$B$18</f>
              <strCache>
                <ptCount val="4"/>
                <pt idx="0">
                  <v>Cyber</v>
                </pt>
                <pt idx="1">
                  <v>Physical</v>
                </pt>
                <pt idx="2">
                  <v>Social</v>
                </pt>
                <pt idx="3">
                  <v>Thinking</v>
                </pt>
              </strCache>
            </strRef>
          </cat>
          <val>
            <numRef>
              <f>'Case Study Results'!$F$15:$F$18</f>
              <numCache>
                <formatCode>General</formatCode>
                <ptCount val="4"/>
                <pt idx="0">
                  <v>6</v>
                </pt>
                <pt idx="1">
                  <v>2</v>
                </pt>
                <pt idx="2">
                  <v>5</v>
                </pt>
                <pt idx="3">
                  <v>5</v>
                </pt>
              </numCache>
            </numRef>
          </val>
        </ser>
        <ser>
          <idx val="4"/>
          <order val="4"/>
          <tx>
            <strRef>
              <f>'Case Study Results'!G14</f>
              <strCache>
                <ptCount val="1"/>
                <pt idx="0">
                  <v>Kenya</v>
                </pt>
              </strCache>
            </strRef>
          </tx>
          <spPr>
            <a:solidFill xmlns:a="http://schemas.openxmlformats.org/drawingml/2006/main">
              <a:srgbClr val="bbbbbb"/>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'Case Study Results'!$B$15:$B$18</f>
              <strCache>
                <ptCount val="4"/>
                <pt idx="0">
                  <v>Cyber</v>
                </pt>
                <pt idx="1">
                  <v>Physical</v>
                </pt>
                <pt idx="2">
                  <v>Social</v>
                </pt>
                <pt idx="3">
                  <v>Thinking</v>
                </pt>
              </strCache>
            </strRef>
          </cat>
          <val>
            <numRef>
              <f>'Case Study Results'!$G$15:$G$18</f>
              <numCache>
                <formatCode>General</formatCode>
                <ptCount val="4"/>
                <pt idx="0">
                  <v>5</v>
                </pt>
                <pt idx="1">
                  <v>2</v>
                </pt>
                <pt idx="2">
                  <v>4</v>
                </pt>
                <pt idx="3">
                  <v>2</v>
                </pt>
              </numCache>
            </numRef>
          </val>
        </ser>
        <gapWidth val="150"/>
        <overlap val="0"/>
        <axId val="2845666"/>
        <axId val="64321611"/>
      </barChart>
      <catAx>
        <axId val="2845666"/>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CPST Dimension</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4321611"/>
        <crosses val="autoZero"/>
        <auto val="1"/>
        <lblAlgn val="ctr"/>
        <lblOffset val="100"/>
        <noMultiLvlLbl val="0"/>
      </catAx>
      <valAx>
        <axId val="64321611"/>
        <scaling>
          <orientation val="minMax"/>
          <max val="7"/>
          <min val="0"/>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Rating (1=Not addressed, 6=Strong)</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845666"/>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1</col>
      <colOff>0</colOff>
      <row>19</row>
      <rowOff>0</rowOff>
    </from>
    <to>
      <col>9</col>
      <colOff>2308680</colOff>
      <row>41</row>
      <rowOff>120600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G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6" min="1" max="1"/>
    <col width="30" customWidth="1" style="56" min="2" max="3"/>
    <col width="25" customWidth="1" style="56" min="4" max="4"/>
    <col width="20" customWidth="1" style="56" min="5" max="7"/>
  </cols>
  <sheetData>
    <row r="1" ht="15" customHeight="1" s="57">
      <c r="A1" s="58" t="n"/>
      <c r="B1" s="58" t="n"/>
      <c r="C1" s="58" t="n"/>
      <c r="D1" s="58" t="n"/>
      <c r="E1" s="58" t="n"/>
      <c r="F1" s="58" t="n"/>
      <c r="G1" s="58" t="n"/>
    </row>
    <row r="2" ht="15" customHeight="1" s="57">
      <c r="A2" s="58" t="n"/>
      <c r="B2" s="58" t="n"/>
      <c r="C2" s="58" t="n"/>
      <c r="D2" s="58" t="n"/>
      <c r="E2" s="58" t="n"/>
      <c r="F2" s="58" t="n"/>
      <c r="G2" s="58" t="n"/>
    </row>
    <row r="3" ht="37.5" customHeight="1" s="57">
      <c r="A3" s="58" t="n"/>
      <c r="B3" s="59" t="inlineStr">
        <is>
          <t>Supplementary Material</t>
        </is>
      </c>
    </row>
    <row r="4" ht="15" customHeight="1" s="57">
      <c r="A4" s="58" t="n"/>
      <c r="B4" s="58" t="n"/>
      <c r="C4" s="58" t="n"/>
      <c r="D4" s="58" t="n"/>
      <c r="E4" s="58" t="n"/>
      <c r="F4" s="58" t="n"/>
      <c r="G4" s="58" t="n"/>
    </row>
    <row r="5" ht="30" customHeight="1" s="57">
      <c r="A5" s="58" t="n"/>
      <c r="B5" s="60" t="inlineStr">
        <is>
          <t>CPST Assessment Framework: Rating Rubric, Protocol, and Case Study Data</t>
        </is>
      </c>
    </row>
    <row r="6" ht="36" customHeight="1" s="57">
      <c r="A6" s="58" t="n"/>
      <c r="B6" s="61" t="inlineStr">
        <is>
          <t>Supporting: A Cyber-Physical-Social-Thinking (CPST) Framework for African Minor Language Preservation and Revitalization in the AGI Era</t>
        </is>
      </c>
    </row>
    <row r="7" ht="15" customHeight="1" s="57">
      <c r="A7" s="58" t="n"/>
      <c r="B7" s="58" t="n"/>
      <c r="C7" s="58" t="n"/>
      <c r="D7" s="58" t="n"/>
      <c r="E7" s="58" t="n"/>
      <c r="F7" s="58" t="n"/>
      <c r="G7" s="58" t="n"/>
    </row>
    <row r="8" ht="15" customHeight="1" s="57">
      <c r="A8" s="58" t="n"/>
      <c r="B8" s="62" t="inlineStr">
        <is>
          <t>Ayana, J.W., Lifelo, Z., Mbonihankuye, S., Sarwatt, D.S., Ning, H. (2026)</t>
        </is>
      </c>
    </row>
    <row r="9" ht="15" customHeight="1" s="57">
      <c r="A9" s="58" t="n"/>
      <c r="B9" s="62" t="inlineStr">
        <is>
          <t>Submitted to: Scientific African</t>
        </is>
      </c>
    </row>
    <row r="10" ht="15" customHeight="1" s="57">
      <c r="A10" s="58" t="n"/>
      <c r="B10" s="58" t="n"/>
      <c r="C10" s="58" t="n"/>
      <c r="D10" s="58" t="n"/>
      <c r="E10" s="58" t="n"/>
      <c r="F10" s="58" t="n"/>
      <c r="G10" s="58" t="n"/>
    </row>
    <row r="11" ht="3" customHeight="1" s="57">
      <c r="A11" s="58" t="n"/>
      <c r="B11" s="63" t="n"/>
    </row>
    <row r="12" ht="15" customHeight="1" s="57">
      <c r="A12" s="58" t="n"/>
      <c r="B12" s="58" t="n"/>
      <c r="C12" s="58" t="n"/>
      <c r="D12" s="58" t="n"/>
      <c r="E12" s="58" t="n"/>
      <c r="F12" s="58" t="n"/>
      <c r="G12" s="58" t="n"/>
    </row>
    <row r="13" ht="27.75" customHeight="1" s="57">
      <c r="A13" s="58" t="n"/>
      <c r="B13" s="64" t="inlineStr">
        <is>
          <t>WORKBOOK CONTENTS</t>
        </is>
      </c>
    </row>
    <row r="14" ht="15" customHeight="1" s="57">
      <c r="A14" s="58" t="n"/>
      <c r="B14" s="58" t="n"/>
      <c r="C14" s="58" t="n"/>
      <c r="D14" s="58" t="n"/>
      <c r="E14" s="58" t="n"/>
      <c r="F14" s="58" t="n"/>
      <c r="G14" s="58" t="n"/>
    </row>
    <row r="15" ht="24" customHeight="1" s="57">
      <c r="A15" s="58" t="n"/>
      <c r="B15" s="65" t="inlineStr">
        <is>
          <t>Sheet</t>
        </is>
      </c>
      <c r="C15" s="65" t="inlineStr">
        <is>
          <t>Description</t>
        </is>
      </c>
      <c r="D15" s="58" t="n"/>
      <c r="E15" s="65" t="inlineStr">
        <is>
          <t>Content Summary</t>
        </is>
      </c>
      <c r="F15" s="66" t="n"/>
      <c r="G15" s="67" t="n"/>
    </row>
    <row r="16" ht="39.75" customHeight="1" s="57">
      <c r="A16" s="58" t="n"/>
      <c r="B16" s="68" t="inlineStr">
        <is>
          <t>CPST Rating Rubric</t>
        </is>
      </c>
      <c r="C16" s="69" t="inlineStr">
        <is>
          <t>Detailed scoring criteria for all 4 dimensions</t>
        </is>
      </c>
      <c r="D16" s="67" t="n"/>
      <c r="E16" s="70" t="inlineStr">
        <is>
          <t>6-level rating scale, 24 criterion definitions, evidence requirements, assessment guidance</t>
        </is>
      </c>
      <c r="F16" s="66" t="n"/>
      <c r="G16" s="67" t="n"/>
    </row>
    <row r="17" ht="39.75" customHeight="1" s="57">
      <c r="A17" s="58" t="n"/>
      <c r="B17" s="68" t="inlineStr">
        <is>
          <t>Assessment Protocol</t>
        </is>
      </c>
      <c r="C17" s="69" t="inlineStr">
        <is>
          <t>Structured qualitative methodology documentation</t>
        </is>
      </c>
      <c r="D17" s="67" t="n"/>
      <c r="E17" s="70" t="inlineStr">
        <is>
          <t>Protocol overview, dimension mapping criteria, 7-step data collection protocol, quality assurance measures</t>
        </is>
      </c>
      <c r="F17" s="66" t="n"/>
      <c r="G17" s="67" t="n"/>
    </row>
    <row r="18" ht="39.75" customHeight="1" s="57">
      <c r="A18" s="58" t="n"/>
      <c r="B18" s="68" t="inlineStr">
        <is>
          <t>Case Study Results</t>
        </is>
      </c>
      <c r="C18" s="69" t="inlineStr">
        <is>
          <t>Comparative CPST profiles of 5 positive cases and 1 negative case (Murle)</t>
        </is>
      </c>
      <c r="D18" s="67" t="n"/>
      <c r="E18" s="70" t="inlineStr">
        <is>
          <t>Ghana, Nigeria, Ethiopia, South Africa, Kenya and South Sudan (Murle) ratings with median/range profiles, visual chart and diagnostic findings</t>
        </is>
      </c>
      <c r="F18" s="66" t="n"/>
      <c r="G18" s="67" t="n"/>
    </row>
    <row r="19" ht="39.75" customHeight="1" s="57">
      <c r="A19" s="58" t="n"/>
      <c r="B19" s="68" t="inlineStr">
        <is>
          <t>Dataset Coverage</t>
        </is>
      </c>
      <c r="C19" s="69" t="inlineStr">
        <is>
          <t>African language coverage across 5 major corpora</t>
        </is>
      </c>
      <c r="D19" s="67" t="n"/>
      <c r="E19" s="70" t="inlineStr">
        <is>
          <t>36 languages mapped across AfriSenti, MasakhaNER 2.0, AfroLM, NLLB-200 and Common Voice v18 with coverage statistics</t>
        </is>
      </c>
      <c r="F19" s="66" t="n"/>
      <c r="G19" s="67" t="n"/>
    </row>
    <row r="20" ht="39.75" customHeight="1" s="57">
      <c r="A20" s="58" t="n"/>
      <c r="B20" s="68" t="inlineStr">
        <is>
          <t>Assessment Template</t>
        </is>
      </c>
      <c r="C20" s="69" t="inlineStr">
        <is>
          <t>Blank field assessment form for new evaluations</t>
        </is>
      </c>
      <c r="D20" s="67" t="n"/>
      <c r="E20" s="70" t="inlineStr">
        <is>
          <t>Ready-to-use template: sub-criterion ratings (1-6 or IE), sub-criteria medians as a guide, assessor-assigned dimension ratings, median/range/weakest-dimension profile, sign-off section</t>
        </is>
      </c>
      <c r="F20" s="66" t="n"/>
      <c r="G20" s="67" t="n"/>
    </row>
    <row r="21" ht="39.75" customHeight="1" s="57">
      <c r="A21" s="58" t="n"/>
      <c r="B21" s="68" t="inlineStr">
        <is>
          <t>Source ID Log (Not PRISMA)</t>
        </is>
      </c>
      <c r="C21" s="69" t="inlineStr">
        <is>
          <t>Source identification and screening log</t>
        </is>
      </c>
      <c r="D21" s="67" t="n"/>
      <c r="E21" s="70" t="inlineStr">
        <is>
          <t>5 databases (ACM, IEEE, Scopus, WoS, ACL; 3,268 records), other sources, screening steps and the 96 included sources</t>
        </is>
      </c>
      <c r="F21" s="66" t="n"/>
      <c r="G21" s="67" t="n"/>
    </row>
    <row r="22" ht="27.75" customHeight="1" s="57">
      <c r="A22" s="58" t="n"/>
      <c r="B22" s="64" t="inlineStr">
        <is>
          <t>HOW TO USE THIS WORKBOOK</t>
        </is>
      </c>
    </row>
    <row r="23" ht="15" customHeight="1" s="57">
      <c r="A23" s="58" t="n"/>
      <c r="B23" s="58" t="n"/>
      <c r="C23" s="58" t="n"/>
      <c r="D23" s="58" t="n"/>
      <c r="E23" s="58" t="n"/>
      <c r="F23" s="58" t="n"/>
      <c r="G23" s="58" t="n"/>
    </row>
    <row r="24" ht="24" customHeight="1" s="57">
      <c r="A24" s="58" t="n"/>
      <c r="B24" s="71" t="inlineStr">
        <is>
          <t>1. Review the CPST Rating Rubric sheet to understand the 6-level rating scale and dimension-specific criteria.</t>
        </is>
      </c>
    </row>
    <row r="25" ht="24" customHeight="1" s="57">
      <c r="A25" s="58" t="n"/>
      <c r="B25" s="71" t="inlineStr">
        <is>
          <t>2. Follow the Assessment Protocol sheet for standardized data collection and evaluation procedures.</t>
        </is>
      </c>
    </row>
    <row r="26" ht="24" customHeight="1" s="57">
      <c r="A26" s="58" t="n"/>
      <c r="B26" s="71" t="inlineStr">
        <is>
          <t>3. Reference the Case Study Results and Dataset Coverage sheets for comparative benchmarking.</t>
        </is>
      </c>
    </row>
    <row r="27" ht="24" customHeight="1" s="57">
      <c r="A27" s="58" t="n"/>
      <c r="B27" s="71" t="inlineStr">
        <is>
          <t>4. Use the Assessment Template sheet to conduct new CPST evaluations: rate each sub-criterion in column E (1-6, or IE); the template shows the sub-criteria median as a guide only, and the assessor records the holistic dimension rating in the Overall CPST Summary.</t>
        </is>
      </c>
    </row>
    <row r="28" ht="24" customHeight="1" s="57">
      <c r="A28" s="58" t="n"/>
      <c r="B28" s="71" t="inlineStr">
        <is>
          <t>5. Ratings require convergence of at least two independent documentary sources per dimension.</t>
        </is>
      </c>
    </row>
    <row r="29" ht="24" customHeight="1" s="57">
      <c r="A29" s="58" t="n"/>
      <c r="B29" s="71" t="inlineStr">
        <is>
          <t>6. Record IE (Insufficient Evidence) instead of forcing a rating when documentation is insufficient; IE entries are excluded from medians.</t>
        </is>
      </c>
    </row>
    <row r="30" ht="15" customHeight="1" s="57">
      <c r="A30" s="58" t="n"/>
      <c r="B30" s="58" t="n"/>
      <c r="C30" s="58" t="n"/>
      <c r="D30" s="58" t="n"/>
      <c r="E30" s="58" t="n"/>
      <c r="F30" s="58" t="n"/>
      <c r="G30" s="58" t="n"/>
    </row>
    <row r="31" ht="25.5" customHeight="1" s="57">
      <c r="A31" s="58" t="n"/>
      <c r="B31" s="72" t="inlineStr">
        <is>
          <t>CITATION</t>
        </is>
      </c>
    </row>
    <row r="32" ht="30" customHeight="1" s="57">
      <c r="A32" s="58" t="n"/>
      <c r="B32" s="73" t="inlineStr">
        <is>
          <t>Ayana, J.W., Lifelo, Z., Mbonihankuye, S., Sarwatt, D.S., &amp; Ning, H. (2026). A Cyber-Physical-Social-Thinking (CPST) Framework for African Minor Language Preservation and Revitalization in the AGI Era. Scientific African.</t>
        </is>
      </c>
    </row>
    <row r="33" ht="15" customHeight="1" s="57">
      <c r="A33" s="58" t="n"/>
      <c r="B33" s="58" t="n"/>
      <c r="C33" s="58" t="n"/>
      <c r="D33" s="58" t="n"/>
      <c r="E33" s="58" t="n"/>
      <c r="F33" s="58" t="n"/>
      <c r="G33" s="58" t="n"/>
    </row>
    <row r="34" ht="15" customHeight="1" s="57">
      <c r="A34" s="58" t="n"/>
      <c r="B34" s="58" t="n"/>
      <c r="C34" s="58" t="n"/>
      <c r="D34" s="58" t="n"/>
      <c r="E34" s="58" t="n"/>
      <c r="F34" s="58" t="n"/>
      <c r="G34" s="58" t="n"/>
    </row>
  </sheetData>
  <mergeCells count="29">
    <mergeCell ref="E19:G19"/>
    <mergeCell ref="B8:G8"/>
    <mergeCell ref="B13:G13"/>
    <mergeCell ref="E15:G15"/>
    <mergeCell ref="B29:G29"/>
    <mergeCell ref="C20:D20"/>
    <mergeCell ref="B28:G28"/>
    <mergeCell ref="C16:D16"/>
    <mergeCell ref="B9:G9"/>
    <mergeCell ref="B6:G6"/>
    <mergeCell ref="B24:G24"/>
    <mergeCell ref="E16:G16"/>
    <mergeCell ref="C21:D21"/>
    <mergeCell ref="B5:G5"/>
    <mergeCell ref="B32:G32"/>
    <mergeCell ref="E18:G18"/>
    <mergeCell ref="B26:G26"/>
    <mergeCell ref="E21:G21"/>
    <mergeCell ref="C17:D17"/>
    <mergeCell ref="B25:G25"/>
    <mergeCell ref="B3:G3"/>
    <mergeCell ref="B22:G22"/>
    <mergeCell ref="B31:G31"/>
    <mergeCell ref="C19:D19"/>
    <mergeCell ref="B27:G27"/>
    <mergeCell ref="E17:G17"/>
    <mergeCell ref="C18:D18"/>
    <mergeCell ref="E20:G20"/>
    <mergeCell ref="B11:G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5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6" min="1" max="1"/>
    <col width="22" customWidth="1" style="56" min="2" max="2"/>
    <col width="18" customWidth="1" style="56" min="3" max="3"/>
    <col width="60" customWidth="1" style="56" min="4" max="4"/>
    <col width="35" customWidth="1" style="56" min="5" max="6"/>
  </cols>
  <sheetData>
    <row r="1"/>
    <row r="2" ht="31.5" customHeight="1" s="57">
      <c r="B2" s="74" t="inlineStr">
        <is>
          <t>CPST Assessment Rating Rubric</t>
        </is>
      </c>
    </row>
    <row r="3" ht="21.75" customHeight="1" s="57">
      <c r="B3" s="75" t="inlineStr">
        <is>
          <t>Supplementary Material for: A Cyber-Physical-Social-Thinking (CPST) Framework for African Minor Language Preservation</t>
        </is>
      </c>
    </row>
    <row r="4"/>
    <row r="5" ht="25.5" customHeight="1" s="57">
      <c r="B5" s="76" t="inlineStr">
        <is>
          <t>RATING SCALE DEFINITIONS</t>
        </is>
      </c>
    </row>
    <row r="6" ht="24" customHeight="1" s="57">
      <c r="B6" s="65" t="inlineStr">
        <is>
          <t>Rating</t>
        </is>
      </c>
      <c r="C6" s="65" t="inlineStr">
        <is>
          <t>Label</t>
        </is>
      </c>
      <c r="D6" s="65" t="inlineStr">
        <is>
          <t>Definition</t>
        </is>
      </c>
      <c r="E6" s="65" t="inlineStr">
        <is>
          <t>Numeric Value</t>
        </is>
      </c>
      <c r="F6" s="65" t="inlineStr">
        <is>
          <t>Color Code</t>
        </is>
      </c>
    </row>
    <row r="7" ht="37.5" customHeight="1" s="57">
      <c r="B7" s="77" t="inlineStr">
        <is>
          <t>6</t>
        </is>
      </c>
      <c r="C7" s="77" t="inlineStr">
        <is>
          <t>Strong</t>
        </is>
      </c>
      <c r="D7" s="78" t="inlineStr">
        <is>
          <t>Well-developed infrastructure with documented evidence of sustained impact and active community engagement</t>
        </is>
      </c>
      <c r="E7" s="78" t="n">
        <v>6</v>
      </c>
      <c r="F7" s="78" t="inlineStr">
        <is>
          <t>Dark Green</t>
        </is>
      </c>
    </row>
    <row r="8" ht="37.5" customHeight="1" s="57">
      <c r="B8" s="77" t="inlineStr">
        <is>
          <t>5</t>
        </is>
      </c>
      <c r="C8" s="77" t="inlineStr">
        <is>
          <t>Moderate</t>
        </is>
      </c>
      <c r="D8" s="78" t="inlineStr">
        <is>
          <t>Established infrastructure with some evidence of deployment but limited reach or sustainability concerns</t>
        </is>
      </c>
      <c r="E8" s="78" t="n">
        <v>5</v>
      </c>
      <c r="F8" s="78" t="inlineStr">
        <is>
          <t>Light Green</t>
        </is>
      </c>
    </row>
    <row r="9" ht="37.5" customHeight="1" s="57">
      <c r="B9" s="77" t="inlineStr">
        <is>
          <t>4</t>
        </is>
      </c>
      <c r="C9" s="77" t="inlineStr">
        <is>
          <t>Mixed</t>
        </is>
      </c>
      <c r="D9" s="78" t="inlineStr">
        <is>
          <t>Uneven development: some sub-dimensions are strong while others remain weak or underdeveloped</t>
        </is>
      </c>
      <c r="E9" s="78" t="n">
        <v>4</v>
      </c>
      <c r="F9" s="78" t="inlineStr">
        <is>
          <t>Yellow</t>
        </is>
      </c>
    </row>
    <row r="10" ht="37.5" customHeight="1" s="57">
      <c r="B10" s="77" t="inlineStr">
        <is>
          <t>3</t>
        </is>
      </c>
      <c r="C10" s="77" t="inlineStr">
        <is>
          <t>Emerging</t>
        </is>
      </c>
      <c r="D10" s="78" t="inlineStr">
        <is>
          <t>Initial efforts visible but not yet operational or scalable; pilot-stage initiatives</t>
        </is>
      </c>
      <c r="E10" s="78" t="n">
        <v>3</v>
      </c>
      <c r="F10" s="78" t="inlineStr">
        <is>
          <t>Orange</t>
        </is>
      </c>
    </row>
    <row r="11" ht="37.5" customHeight="1" s="57">
      <c r="B11" s="77" t="inlineStr">
        <is>
          <t>2</t>
        </is>
      </c>
      <c r="C11" s="77" t="inlineStr">
        <is>
          <t>Weak</t>
        </is>
      </c>
      <c r="D11" s="78" t="inlineStr">
        <is>
          <t>Minimal infrastructure; fragmented or ad-hoc efforts without coordination</t>
        </is>
      </c>
      <c r="E11" s="78" t="n">
        <v>2</v>
      </c>
      <c r="F11" s="78" t="inlineStr">
        <is>
          <t>Red-Orange</t>
        </is>
      </c>
    </row>
    <row r="12" ht="37.5" customHeight="1" s="57">
      <c r="B12" s="77" t="inlineStr">
        <is>
          <t>1</t>
        </is>
      </c>
      <c r="C12" s="77" t="inlineStr">
        <is>
          <t>Not addressed</t>
        </is>
      </c>
      <c r="D12" s="78" t="inlineStr">
        <is>
          <t>No identifiable initiatives or infrastructure in this dimension</t>
        </is>
      </c>
      <c r="E12" s="78" t="n">
        <v>1</v>
      </c>
      <c r="F12" s="78" t="inlineStr">
        <is>
          <t>Red</t>
        </is>
      </c>
    </row>
    <row r="13" ht="37.5" customHeight="1" s="57">
      <c r="B13" s="133" t="inlineStr">
        <is>
          <t>IE</t>
        </is>
      </c>
      <c r="C13" s="133" t="inlineStr">
        <is>
          <t>Insufficient Evidence</t>
        </is>
      </c>
      <c r="D13" s="134" t="inlineStr">
        <is>
          <t>Cannot be scored due to lack of documentation</t>
        </is>
      </c>
      <c r="E13" s="134" t="inlineStr">
        <is>
          <t>N/A</t>
        </is>
      </c>
      <c r="F13" s="134" t="inlineStr">
        <is>
          <t>Grey</t>
        </is>
      </c>
    </row>
    <row r="14" ht="7.5" customHeight="1" s="57">
      <c r="A14" s="129" t="inlineStr">
        <is>
          <t>NOTE: Typical Impact percentages indicate relative importance in typical scenarios for guidance only; they are not applied as weights. Dimension ratings are holistic expert judgments informed by the six sub-criteria, not mechanical aggregations of sub-criterion scores. Record IE where evidence is insufficient.</t>
        </is>
      </c>
    </row>
    <row r="15" ht="25.5" customHeight="1" s="57"/>
    <row r="16" ht="24" customHeight="1" s="57">
      <c r="B16" s="76" t="inlineStr">
        <is>
          <t>DIMENSION-SPECIFIC ASSESSMENT CRITERIA</t>
        </is>
      </c>
    </row>
    <row r="17" ht="27.75" customHeight="1" s="57">
      <c r="B17" s="79" t="inlineStr">
        <is>
          <t>DIMENSION 1: CYBER (Digital Infrastructure)</t>
        </is>
      </c>
    </row>
    <row r="18" ht="45" customHeight="1" s="57">
      <c r="B18" s="80" t="inlineStr">
        <is>
          <t>Criterion</t>
        </is>
      </c>
      <c r="C18" s="114" t="inlineStr">
        <is>
          <t>Typical Impact (Heuristic Only)</t>
        </is>
      </c>
      <c r="D18" s="80" t="inlineStr">
        <is>
          <t>Description</t>
        </is>
      </c>
      <c r="E18" s="80" t="inlineStr">
        <is>
          <t>Evidence Required</t>
        </is>
      </c>
      <c r="F18" s="80" t="inlineStr">
        <is>
          <t>Assessment Guidance</t>
        </is>
      </c>
    </row>
    <row r="19" ht="45" customHeight="1" s="57">
      <c r="B19" s="81" t="inlineStr">
        <is>
          <t>Digital Corpora</t>
        </is>
      </c>
      <c r="C19" s="82" t="inlineStr">
        <is>
          <t>25%</t>
        </is>
      </c>
      <c r="D19" s="82" t="inlineStr">
        <is>
          <t>Availability and quality of text, speech, and multimodal datasets</t>
        </is>
      </c>
      <c r="E19" s="82" t="inlineStr">
        <is>
          <t>Corpus size, language coverage, annotation quality, open-source availability</t>
        </is>
      </c>
      <c r="F19" s="83" t="inlineStr">
        <is>
          <t>Check Hugging Face, GitHub, academic papers for documented corpora</t>
        </is>
      </c>
    </row>
    <row r="20" ht="45" customHeight="1" s="57">
      <c r="B20" s="81" t="inlineStr">
        <is>
          <t>Language Models</t>
        </is>
      </c>
      <c r="C20" s="82" t="inlineStr">
        <is>
          <t>25%</t>
        </is>
      </c>
      <c r="D20" s="82" t="inlineStr">
        <is>
          <t>Pre-trained and fine-tuned models for language understanding and generation</t>
        </is>
      </c>
      <c r="E20" s="82" t="inlineStr">
        <is>
          <t>Model checkpoints, evaluation scores, architecture documentation</t>
        </is>
      </c>
      <c r="F20" s="83" t="inlineStr">
        <is>
          <t>Verify model availability on model hubs; check benchmark performance</t>
        </is>
      </c>
    </row>
    <row r="21" ht="45" customHeight="1" s="57">
      <c r="B21" s="81" t="inlineStr">
        <is>
          <t>Machine Translation</t>
        </is>
      </c>
      <c r="C21" s="82" t="inlineStr">
        <is>
          <t>15%</t>
        </is>
      </c>
      <c r="D21" s="82" t="inlineStr">
        <is>
          <t>Translation systems supporting the language</t>
        </is>
      </c>
      <c r="E21" s="82" t="inlineStr">
        <is>
          <t>BLEU/chrF scores, human evaluation, language pair coverage</t>
        </is>
      </c>
      <c r="F21" s="83" t="inlineStr">
        <is>
          <t>Test translation quality; check NLLB coverage and specialized MT systems</t>
        </is>
      </c>
    </row>
    <row r="22" ht="45" customHeight="1" s="57">
      <c r="B22" s="81" t="inlineStr">
        <is>
          <t>Speech Technology</t>
        </is>
      </c>
      <c r="C22" s="82" t="inlineStr">
        <is>
          <t>15%</t>
        </is>
      </c>
      <c r="D22" s="82" t="inlineStr">
        <is>
          <t>ASR and TTS systems and resources</t>
        </is>
      </c>
      <c r="E22" s="82" t="inlineStr">
        <is>
          <t>WER for ASR, MOS for TTS, hours of speech data available</t>
        </is>
      </c>
      <c r="F22" s="83" t="inlineStr">
        <is>
          <t>Evaluate speech demos; check Common Voice contributions</t>
        </is>
      </c>
    </row>
    <row r="23" ht="45" customHeight="1" s="57">
      <c r="B23" s="81" t="inlineStr">
        <is>
          <t>Benchmarks</t>
        </is>
      </c>
      <c r="C23" s="82" t="inlineStr">
        <is>
          <t>10%</t>
        </is>
      </c>
      <c r="D23" s="82" t="inlineStr">
        <is>
          <t>Standardized evaluation datasets and leaderboards</t>
        </is>
      </c>
      <c r="E23" s="82" t="inlineStr">
        <is>
          <t>Number of tasks, language coverage, benchmark citations</t>
        </is>
      </c>
      <c r="F23" s="83" t="inlineStr">
        <is>
          <t>Check AfroBench, IrokoBench, Sahara inclusion</t>
        </is>
      </c>
    </row>
    <row r="24">
      <c r="B24" s="81" t="inlineStr">
        <is>
          <t>APIs &amp; Platforms</t>
        </is>
      </c>
      <c r="C24" s="82" t="inlineStr">
        <is>
          <t>10%</t>
        </is>
      </c>
      <c r="D24" s="82" t="inlineStr">
        <is>
          <t>Accessible interfaces for end-user applications</t>
        </is>
      </c>
      <c r="E24" s="82" t="inlineStr">
        <is>
          <t>API documentation, uptime, usage statistics, developer community</t>
        </is>
      </c>
      <c r="F24" s="83" t="inlineStr">
        <is>
          <t>Test API endpoints; check documentation completeness</t>
        </is>
      </c>
    </row>
    <row r="25" ht="24" customHeight="1" s="57"/>
    <row r="26" ht="27.75" customHeight="1" s="57">
      <c r="B26" s="79" t="inlineStr">
        <is>
          <t>DIMENSION 2: PHYSICAL (Tangible Infrastructure)</t>
        </is>
      </c>
    </row>
    <row r="27" ht="45" customHeight="1" s="57">
      <c r="B27" s="80" t="inlineStr">
        <is>
          <t>Criterion</t>
        </is>
      </c>
      <c r="C27" s="114" t="inlineStr">
        <is>
          <t>Typical Impact (Heuristic Only)</t>
        </is>
      </c>
      <c r="D27" s="80" t="inlineStr">
        <is>
          <t>Description</t>
        </is>
      </c>
      <c r="E27" s="80" t="inlineStr">
        <is>
          <t>Evidence Required</t>
        </is>
      </c>
      <c r="F27" s="80" t="inlineStr">
        <is>
          <t>Assessment Guidance</t>
        </is>
      </c>
    </row>
    <row r="28" ht="45" customHeight="1" s="57">
      <c r="B28" s="81" t="inlineStr">
        <is>
          <t>Offline Deployment</t>
        </is>
      </c>
      <c r="C28" s="82" t="inlineStr">
        <is>
          <t>25%</t>
        </is>
      </c>
      <c r="D28" s="82" t="inlineStr">
        <is>
          <t>Pre-loaded devices, SD cards, USB drives for low-connectivity areas</t>
        </is>
      </c>
      <c r="E28" s="82" t="inlineStr">
        <is>
          <t>Distribution numbers, device specifications, content pre-loaded</t>
        </is>
      </c>
      <c r="F28" s="83" t="inlineStr">
        <is>
          <t>Check for offline-first design; verify distribution reach in rural areas</t>
        </is>
      </c>
    </row>
    <row r="29" ht="45" customHeight="1" s="57">
      <c r="B29" s="81" t="inlineStr">
        <is>
          <t>Print Materials</t>
        </is>
      </c>
      <c r="C29" s="82" t="inlineStr">
        <is>
          <t>20%</t>
        </is>
      </c>
      <c r="D29" s="82" t="inlineStr">
        <is>
          <t>Textbooks, dictionaries, signage in the target language</t>
        </is>
      </c>
      <c r="E29" s="82" t="inlineStr">
        <is>
          <t>Publication counts, distribution channels, usage in schools</t>
        </is>
      </c>
      <c r="F29" s="83" t="inlineStr">
        <is>
          <t>Visit schools/community centers; check publisher catalogs</t>
        </is>
      </c>
    </row>
    <row r="30" ht="45" customHeight="1" s="57">
      <c r="B30" s="81" t="inlineStr">
        <is>
          <t>Community Radio</t>
        </is>
      </c>
      <c r="C30" s="82" t="inlineStr">
        <is>
          <t>20%</t>
        </is>
      </c>
      <c r="D30" s="82" t="inlineStr">
        <is>
          <t>Radio broadcasts in indigenous languages</t>
        </is>
      </c>
      <c r="E30" s="82" t="inlineStr">
        <is>
          <t>Broadcast hours, geographic coverage, listener surveys</t>
        </is>
      </c>
      <c r="F30" s="83" t="inlineStr">
        <is>
          <t>Contact radio stations; check broadcast schedules and coverage maps</t>
        </is>
      </c>
    </row>
    <row r="31" ht="45" customHeight="1" s="57">
      <c r="B31" s="81" t="inlineStr">
        <is>
          <t>Writing Systems</t>
        </is>
      </c>
      <c r="C31" s="82" t="inlineStr">
        <is>
          <t>15%</t>
        </is>
      </c>
      <c r="D31" s="82" t="inlineStr">
        <is>
          <t>Standardized orthographies and Unicode support</t>
        </is>
      </c>
      <c r="E31" s="82" t="inlineStr">
        <is>
          <t>Unicode status, font availability, keyboard layout support</t>
        </is>
      </c>
      <c r="F31" s="83" t="inlineStr">
        <is>
          <t>Verify Unicode block allocation; test input methods</t>
        </is>
      </c>
    </row>
    <row r="32" ht="45" customHeight="1" s="57">
      <c r="B32" s="81" t="inlineStr">
        <is>
          <t>Public Signage</t>
        </is>
      </c>
      <c r="C32" s="82" t="inlineStr">
        <is>
          <t>10%</t>
        </is>
      </c>
      <c r="D32" s="82" t="inlineStr">
        <is>
          <t>Government signage, administrative forms in the language</t>
        </is>
      </c>
      <c r="E32" s="82" t="inlineStr">
        <is>
          <t>Documentation of official language use in public spaces</t>
        </is>
      </c>
      <c r="F32" s="83" t="inlineStr">
        <is>
          <t>Photograph/document public signage; check government websites</t>
        </is>
      </c>
    </row>
    <row r="33">
      <c r="B33" s="81" t="inlineStr">
        <is>
          <t>Storage &amp; Archive</t>
        </is>
      </c>
      <c r="C33" s="82" t="inlineStr">
        <is>
          <t>10%</t>
        </is>
      </c>
      <c r="D33" s="82" t="inlineStr">
        <is>
          <t>Physical and offline digital preservation of language materials</t>
        </is>
      </c>
      <c r="E33" s="82" t="inlineStr">
        <is>
          <t>Archive accessibility, backup protocols, redundancy measures</t>
        </is>
      </c>
      <c r="F33" s="83" t="inlineStr">
        <is>
          <t>Check national archives; verify community-held materials</t>
        </is>
      </c>
    </row>
    <row r="34" ht="24" customHeight="1" s="57"/>
    <row r="35" ht="27.75" customHeight="1" s="57">
      <c r="B35" s="79" t="inlineStr">
        <is>
          <t>DIMENSION 3: SOCIAL (Institutions &amp; Community)</t>
        </is>
      </c>
    </row>
    <row r="36" ht="45" customHeight="1" s="57">
      <c r="B36" s="80" t="inlineStr">
        <is>
          <t>Criterion</t>
        </is>
      </c>
      <c r="C36" s="114" t="inlineStr">
        <is>
          <t>Typical Impact (Heuristic Only)</t>
        </is>
      </c>
      <c r="D36" s="80" t="inlineStr">
        <is>
          <t>Description</t>
        </is>
      </c>
      <c r="E36" s="80" t="inlineStr">
        <is>
          <t>Evidence Required</t>
        </is>
      </c>
      <c r="F36" s="80" t="inlineStr">
        <is>
          <t>Assessment Guidance</t>
        </is>
      </c>
    </row>
    <row r="37" ht="45" customHeight="1" s="57">
      <c r="B37" s="81" t="inlineStr">
        <is>
          <t>Institutional Partnerships</t>
        </is>
      </c>
      <c r="C37" s="82" t="inlineStr">
        <is>
          <t>25%</t>
        </is>
      </c>
      <c r="D37" s="82" t="inlineStr">
        <is>
          <t>Government, university, NGO, and industry collaborations</t>
        </is>
      </c>
      <c r="E37" s="82" t="inlineStr">
        <is>
          <t>MOUs, joint projects, funding streams, policy documents</t>
        </is>
      </c>
      <c r="F37" s="83" t="inlineStr">
        <is>
          <t>Review partnership agreements; check institutional websites</t>
        </is>
      </c>
    </row>
    <row r="38" ht="45" customHeight="1" s="57">
      <c r="B38" s="81" t="inlineStr">
        <is>
          <t>Community Engagement</t>
        </is>
      </c>
      <c r="C38" s="82" t="inlineStr">
        <is>
          <t>25%</t>
        </is>
      </c>
      <c r="D38" s="82" t="inlineStr">
        <is>
          <t>Native speaker involvement in data collection and validation</t>
        </is>
      </c>
      <c r="E38" s="82" t="inlineStr">
        <is>
          <t>Volunteer network size, annotation workflows, community events</t>
        </is>
      </c>
      <c r="F38" s="83" t="inlineStr">
        <is>
          <t>Check Masakhane-style participatory models; verify community governance</t>
        </is>
      </c>
    </row>
    <row r="39" ht="45" customHeight="1" s="57">
      <c r="B39" s="81" t="inlineStr">
        <is>
          <t>Capacity Building</t>
        </is>
      </c>
      <c r="C39" s="82" t="inlineStr">
        <is>
          <t>20%</t>
        </is>
      </c>
      <c r="D39" s="82" t="inlineStr">
        <is>
          <t>Training programmes for local NLP researchers and practitioners</t>
        </is>
      </c>
      <c r="E39" s="82" t="inlineStr">
        <is>
          <t>Number of trainees, curriculum availability, career outcomes</t>
        </is>
      </c>
      <c r="F39" s="83" t="inlineStr">
        <is>
          <t>Check Deep Learning Indaba, African Languages Lab participation</t>
        </is>
      </c>
    </row>
    <row r="40" ht="45" customHeight="1" s="57">
      <c r="B40" s="81" t="inlineStr">
        <is>
          <t>Policy Integration</t>
        </is>
      </c>
      <c r="C40" s="82" t="inlineStr">
        <is>
          <t>15%</t>
        </is>
      </c>
      <c r="D40" s="82" t="inlineStr">
        <is>
          <t>National language policies supporting digital language technology</t>
        </is>
      </c>
      <c r="E40" s="82" t="inlineStr">
        <is>
          <t>Policy documents, implementation reports, budget allocations</t>
        </is>
      </c>
      <c r="F40" s="83" t="inlineStr">
        <is>
          <t>Review national language policies; check UNESCO IDIL action plans</t>
        </is>
      </c>
    </row>
    <row r="41" ht="45" customHeight="1" s="57">
      <c r="B41" s="81" t="inlineStr">
        <is>
          <t>Cross-Lingual Platforms</t>
        </is>
      </c>
      <c r="C41" s="82" t="inlineStr">
        <is>
          <t>10%</t>
        </is>
      </c>
      <c r="D41" s="82" t="inlineStr">
        <is>
          <t>Digital platforms enabling multilingual community interaction</t>
        </is>
      </c>
      <c r="E41" s="82" t="inlineStr">
        <is>
          <t>Platform user numbers, language pair coverage, content moderation</t>
        </is>
      </c>
      <c r="F41" s="83" t="inlineStr">
        <is>
          <t>Check social media presence; evaluate platform accessibility</t>
        </is>
      </c>
    </row>
    <row r="42">
      <c r="B42" s="81" t="inlineStr">
        <is>
          <t>Sustainability</t>
        </is>
      </c>
      <c r="C42" s="82" t="inlineStr">
        <is>
          <t>5%</t>
        </is>
      </c>
      <c r="D42" s="82" t="inlineStr">
        <is>
          <t>Long-term funding and organisational continuity plans</t>
        </is>
      </c>
      <c r="E42" s="82" t="inlineStr">
        <is>
          <t>Funding sources, organisational structure, succession planning</t>
        </is>
      </c>
      <c r="F42" s="83" t="inlineStr">
        <is>
          <t>Review grant awards; check organisational sustainability reports</t>
        </is>
      </c>
    </row>
    <row r="43" ht="24" customHeight="1" s="57"/>
    <row r="44" ht="27.75" customHeight="1" s="57">
      <c r="B44" s="79" t="inlineStr">
        <is>
          <t>DIMENSION 4: THINKING (Cognition &amp; Identity)</t>
        </is>
      </c>
    </row>
    <row r="45" ht="45" customHeight="1" s="57">
      <c r="B45" s="80" t="inlineStr">
        <is>
          <t>Criterion</t>
        </is>
      </c>
      <c r="C45" s="114" t="inlineStr">
        <is>
          <t>Typical Impact (Heuristic Only)</t>
        </is>
      </c>
      <c r="D45" s="80" t="inlineStr">
        <is>
          <t>Description</t>
        </is>
      </c>
      <c r="E45" s="80" t="inlineStr">
        <is>
          <t>Evidence Required</t>
        </is>
      </c>
      <c r="F45" s="80" t="inlineStr">
        <is>
          <t>Assessment Guidance</t>
        </is>
      </c>
    </row>
    <row r="46" ht="45" customHeight="1" s="57">
      <c r="B46" s="81" t="inlineStr">
        <is>
          <t>Linguistic Identity</t>
        </is>
      </c>
      <c r="C46" s="82" t="inlineStr">
        <is>
          <t>25%</t>
        </is>
      </c>
      <c r="D46" s="82" t="inlineStr">
        <is>
          <t>Community attitudes toward the language as part of cultural identity</t>
        </is>
      </c>
      <c r="E46" s="82" t="inlineStr">
        <is>
          <t>Survey data, interview transcripts, social media sentiment analysis</t>
        </is>
      </c>
      <c r="F46" s="83" t="inlineStr">
        <is>
          <t>Conduct attitude surveys; analyse social media discourse</t>
        </is>
      </c>
    </row>
    <row r="47" ht="45" customHeight="1" s="57">
      <c r="B47" s="81" t="inlineStr">
        <is>
          <t>Participatory Design</t>
        </is>
      </c>
      <c r="C47" s="82" t="inlineStr">
        <is>
          <t>25%</t>
        </is>
      </c>
      <c r="D47" s="82" t="inlineStr">
        <is>
          <t>Community involvement in technology design and governance</t>
        </is>
      </c>
      <c r="E47" s="82" t="inlineStr">
        <is>
          <t>Design workshop records, community review board minutes, consent protocols</t>
        </is>
      </c>
      <c r="F47" s="83" t="inlineStr">
        <is>
          <t>Check for community co-design sessions; verify data sovereignty agreements</t>
        </is>
      </c>
    </row>
    <row r="48" ht="45" customHeight="1" s="57">
      <c r="B48" s="81" t="inlineStr">
        <is>
          <t>Technology Trust</t>
        </is>
      </c>
      <c r="C48" s="82" t="inlineStr">
        <is>
          <t>20%</t>
        </is>
      </c>
      <c r="D48" s="82" t="inlineStr">
        <is>
          <t>Community confidence in AI/AGI language tools</t>
        </is>
      </c>
      <c r="E48" s="82" t="inlineStr">
        <is>
          <t>User acceptance studies, trust surveys, adoption rate data</t>
        </is>
      </c>
      <c r="F48" s="83" t="inlineStr">
        <is>
          <t>Conduct user studies; monitor app download and retention rates</t>
        </is>
      </c>
    </row>
    <row r="49" ht="45" customHeight="1" s="57">
      <c r="B49" s="81" t="inlineStr">
        <is>
          <t>Prestige &amp; Status</t>
        </is>
      </c>
      <c r="C49" s="82" t="inlineStr">
        <is>
          <t>15%</t>
        </is>
      </c>
      <c r="D49" s="82" t="inlineStr">
        <is>
          <t>Perceived social and economic value of the language</t>
        </is>
      </c>
      <c r="E49" s="82" t="inlineStr">
        <is>
          <t>Employment data, educational outcomes, intergenerational transmission rates</t>
        </is>
      </c>
      <c r="F49" s="83" t="inlineStr">
        <is>
          <t>Track language use across generations; correlate with socioeconomic factors</t>
        </is>
      </c>
    </row>
    <row r="50" ht="45" customHeight="1" s="57">
      <c r="B50" s="81" t="inlineStr">
        <is>
          <t>Epistemic Justice</t>
        </is>
      </c>
      <c r="C50" s="82" t="inlineStr">
        <is>
          <t>10%</t>
        </is>
      </c>
      <c r="D50" s="82" t="inlineStr">
        <is>
          <t>Recognition of indigenous knowledge systems in technology</t>
        </is>
      </c>
      <c r="E50" s="82" t="inlineStr">
        <is>
          <t>Citation of local experts, knowledge co-production documentation</t>
        </is>
      </c>
      <c r="F50" s="83" t="inlineStr">
        <is>
          <t>Check authorship of papers; verify community knowledge attribution</t>
        </is>
      </c>
    </row>
    <row r="51">
      <c r="B51" s="81" t="inlineStr">
        <is>
          <t>Cognitive Load</t>
        </is>
      </c>
      <c r="C51" s="82" t="inlineStr">
        <is>
          <t>5%</t>
        </is>
      </c>
      <c r="D51" s="82" t="inlineStr">
        <is>
          <t>Usability and accessibility of language technology interfaces</t>
        </is>
      </c>
      <c r="E51" s="82" t="inlineStr">
        <is>
          <t>User experience testing, error rates, help-seeking behaviour</t>
        </is>
      </c>
      <c r="F51" s="83" t="inlineStr">
        <is>
          <t>Conduct UX studies with elderly and low-literacy users</t>
        </is>
      </c>
    </row>
  </sheetData>
  <mergeCells count="9">
    <mergeCell ref="B43:F43"/>
    <mergeCell ref="B2:F2"/>
    <mergeCell ref="B16:F16"/>
    <mergeCell ref="B15:F15"/>
    <mergeCell ref="B34:F34"/>
    <mergeCell ref="B25:F25"/>
    <mergeCell ref="A14:F14"/>
    <mergeCell ref="B3:F3"/>
    <mergeCell ref="B5:F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6" min="1" max="1"/>
    <col width="25" customWidth="1" style="56" min="2" max="2"/>
    <col width="65" customWidth="1" style="56" min="3" max="3"/>
    <col width="25" customWidth="1" style="56" min="4" max="4"/>
  </cols>
  <sheetData>
    <row r="1"/>
    <row r="2" ht="31.5" customHeight="1" s="57">
      <c r="B2" s="74" t="inlineStr">
        <is>
          <t>CPST Qualitative Assessment Protocol</t>
        </is>
      </c>
    </row>
    <row r="3" ht="21.75" customHeight="1" s="57">
      <c r="B3" s="75" t="inlineStr">
        <is>
          <t>Structured qualitative assessment methodology for CPST dimension mapping</t>
        </is>
      </c>
    </row>
    <row r="4"/>
    <row r="5" ht="25.5" customHeight="1" s="57">
      <c r="B5" s="76" t="inlineStr">
        <is>
          <t>PROTOCOL OVERVIEW</t>
        </is>
      </c>
    </row>
    <row r="6" ht="31.5" customHeight="1" s="57">
      <c r="B6" s="81" t="inlineStr">
        <is>
          <t>Purpose</t>
        </is>
      </c>
      <c r="C6" s="82" t="inlineStr">
        <is>
          <t>To conduct a structured qualitative documentary assessment of language preservation initiatives across the four CPST dimensions using structured qualitative criteria</t>
        </is>
      </c>
      <c r="D6" s="67" t="n"/>
    </row>
    <row r="7" ht="31.5" customHeight="1" s="57">
      <c r="B7" s="81" t="inlineStr">
        <is>
          <t>Method</t>
        </is>
      </c>
      <c r="C7" s="82" t="inlineStr">
        <is>
          <t>Document analysis, project documentation review, and expert triangulation</t>
        </is>
      </c>
      <c r="D7" s="67" t="n"/>
    </row>
    <row r="8" ht="31.5" customHeight="1" s="57">
      <c r="B8" s="81" t="inlineStr">
        <is>
          <t>Data Sources</t>
        </is>
      </c>
      <c r="C8" s="82" t="inlineStr">
        <is>
          <t>Peer-reviewed papers, technical reports, project websites, benchmark documentation, news articles, policy documents</t>
        </is>
      </c>
      <c r="D8" s="67" t="n"/>
    </row>
    <row r="9" ht="31.5" customHeight="1" s="57">
      <c r="B9" s="81" t="inlineStr">
        <is>
          <t>Rating Scale</t>
        </is>
      </c>
      <c r="C9" s="82" t="inlineStr">
        <is>
          <t>Strong (6), Moderate (5), Mixed (4), Emerging (3), Weak (2), Not addressed (1); IE = Insufficient Evidence (not scored)</t>
        </is>
      </c>
      <c r="D9" s="67" t="n"/>
    </row>
    <row r="10" ht="31.5" customHeight="1" s="57">
      <c r="B10" s="81" t="inlineStr">
        <is>
          <t>Independence</t>
        </is>
      </c>
      <c r="C10" s="82" t="inlineStr">
        <is>
          <t>Two authors independently review documents; disagreements resolved through discussion; a third author adjudicates any remaining disagreement (in this study, only the Murle Physical rating)</t>
        </is>
      </c>
      <c r="D10" s="67" t="n"/>
    </row>
    <row r="11" ht="31.5" customHeight="1" s="57">
      <c r="B11" s="81" t="inlineStr">
        <is>
          <t>Min. Sources</t>
        </is>
      </c>
      <c r="C11" s="82" t="inlineStr">
        <is>
          <t>Convergence of at least two independent sources required for each rating</t>
        </is>
      </c>
      <c r="D11" s="67" t="n"/>
    </row>
    <row r="12"/>
    <row r="13" ht="25.5" customHeight="1" s="57">
      <c r="B13" s="76" t="inlineStr">
        <is>
          <t>DIMENSION MAPPING CRITERIA</t>
        </is>
      </c>
    </row>
    <row r="14" ht="24" customHeight="1" s="57">
      <c r="B14" s="80" t="inlineStr">
        <is>
          <t>Dimension</t>
        </is>
      </c>
      <c r="C14" s="80" t="inlineStr">
        <is>
          <t>Assessment Criteria</t>
        </is>
      </c>
      <c r="D14" s="80" t="inlineStr">
        <is>
          <t>Rating Guidance</t>
        </is>
      </c>
    </row>
    <row r="15" ht="69.75" customHeight="1" s="57">
      <c r="B15" s="84" t="inlineStr">
        <is>
          <t>Cyber</t>
        </is>
      </c>
      <c r="C15" s="82" t="inlineStr">
        <is>
          <t>Presence and quality of digital corpora, models, APIs, or platforms; evidence of usage; open-source availability.</t>
        </is>
      </c>
      <c r="D15" s="83" t="inlineStr">
        <is>
          <t>Strong: Multiple high-quality datasets and models publicly available
Moderate: Some digital resources exist but limited
Weak: Minimal or no digital infrastructure</t>
        </is>
      </c>
    </row>
    <row r="16" ht="69.75" customHeight="1" s="57">
      <c r="B16" s="84" t="inlineStr">
        <is>
          <t>Physical</t>
        </is>
      </c>
      <c r="C16" s="82" t="inlineStr">
        <is>
          <t>Existence of offline deployment (SD cards, tablets, radio), printed materials (textbooks, signage), or infrastructure (broadcast, Unicode standards).</t>
        </is>
      </c>
      <c r="D16" s="83" t="inlineStr">
        <is>
          <t>Strong: Comprehensive offline deployment and print materials
Moderate: Some physical anchors exist
Weak: No tangible infrastructure</t>
        </is>
      </c>
    </row>
    <row r="17" ht="69.75" customHeight="1" s="57">
      <c r="B17" s="84" t="inlineStr">
        <is>
          <t>Social</t>
        </is>
      </c>
      <c r="C17" s="82" t="inlineStr">
        <is>
          <t>Institutional partnerships (government, academia, NGOs), community engagement (volunteer networks, training programmes), policy support.</t>
        </is>
      </c>
      <c r="D17" s="83" t="inlineStr">
        <is>
          <t>Strong: Multi-stakeholder partnerships with active community engagement
Moderate: Some institutional support
Weak: Isolated efforts without institutional backing</t>
        </is>
      </c>
    </row>
    <row r="18" ht="69.75" customHeight="1" s="57">
      <c r="B18" s="84" t="inlineStr">
        <is>
          <t>Thinking</t>
        </is>
      </c>
      <c r="C18" s="82" t="inlineStr">
        <is>
          <t>Evidence of participatory design, community ownership, linguistic pride measures (surveys, testimonials), or prestige campaigns.</t>
        </is>
      </c>
      <c r="D18" s="83" t="inlineStr">
        <is>
          <t>Strong: Documented community ownership and prestige building
Moderate: Some participatory elements
Weak: No evidence of community involvement or pride initiatives</t>
        </is>
      </c>
    </row>
    <row r="19"/>
    <row r="20" ht="25.5" customHeight="1" s="57">
      <c r="B20" s="76" t="inlineStr">
        <is>
          <t>DATA COLLECTION PROTOCOL</t>
        </is>
      </c>
    </row>
    <row r="21" ht="24" customHeight="1" s="57">
      <c r="B21" s="80" t="inlineStr">
        <is>
          <t>Step</t>
        </is>
      </c>
      <c r="C21" s="80" t="inlineStr">
        <is>
          <t>Activity</t>
        </is>
      </c>
      <c r="D21" s="80" t="inlineStr">
        <is>
          <t>Output</t>
        </is>
      </c>
    </row>
    <row r="22" ht="49.5" customHeight="1" s="57">
      <c r="B22" s="81" t="inlineStr">
        <is>
          <t>1. Source Identification</t>
        </is>
      </c>
      <c r="C22" s="82" t="inlineStr">
        <is>
          <t>Identify all publicly available materials: peer-reviewed papers, technical reports, project websites, benchmark documentation, news articles, policy documents</t>
        </is>
      </c>
      <c r="D22" s="82" t="inlineStr">
        <is>
          <t>Comprehensive source list with URLs and access dates</t>
        </is>
      </c>
    </row>
    <row r="23" ht="49.5" customHeight="1" s="57">
      <c r="B23" s="81" t="inlineStr">
        <is>
          <t>2. Document Collection</t>
        </is>
      </c>
      <c r="C23" s="82" t="inlineStr">
        <is>
          <t>Download and archive all identified documents. Record metadata: author, date, type, URL, archive location</t>
        </is>
      </c>
      <c r="D23" s="82" t="inlineStr">
        <is>
          <t>Organised document repository with metadata</t>
        </is>
      </c>
    </row>
    <row r="24" ht="49.5" customHeight="1" s="57">
      <c r="B24" s="81" t="inlineStr">
        <is>
          <t>3. Evidence Extraction</t>
        </is>
      </c>
      <c r="C24" s="82" t="inlineStr">
        <is>
          <t>For each CPST dimension, extract relevant evidence from each document using the dimension-specific criteria</t>
        </is>
      </c>
      <c r="D24" s="82" t="inlineStr">
        <is>
          <t>Structured evidence matrix (document x dimension)</t>
        </is>
      </c>
    </row>
    <row r="25" ht="49.5" customHeight="1" s="57">
      <c r="B25" s="81" t="inlineStr">
        <is>
          <t>4. Independent Rating</t>
        </is>
      </c>
      <c r="C25" s="82" t="inlineStr">
        <is>
          <t>Two assessors independently rate each dimension (1-6) based on convergent evidence from at least two sources</t>
        </is>
      </c>
      <c r="D25" s="82" t="inlineStr">
        <is>
          <t>Independent rating sheets with justification notes</t>
        </is>
      </c>
    </row>
    <row r="26" ht="49.5" customHeight="1" s="57">
      <c r="B26" s="81" t="inlineStr">
        <is>
          <t>5. Consensus Meeting</t>
        </is>
      </c>
      <c r="C26" s="82" t="inlineStr">
        <is>
          <t>Assessors meet to discuss ratings. Disagreements are resolved through evidence-based discussion</t>
        </is>
      </c>
      <c r="D26" s="82" t="inlineStr">
        <is>
          <t>Consensus rating with documented rationale</t>
        </is>
      </c>
    </row>
    <row r="27" ht="49.5" customHeight="1" s="57">
      <c r="B27" s="81" t="inlineStr">
        <is>
          <t>6. Third-Party Review</t>
        </is>
      </c>
      <c r="C27" s="82" t="inlineStr">
        <is>
          <t>For remaining disagreements, a third assessor reviews evidence and adjudicates final rating</t>
        </is>
      </c>
      <c r="D27" s="82" t="inlineStr">
        <is>
          <t>Final adjudicated ratings</t>
        </is>
      </c>
    </row>
    <row r="28" ht="49.5" customHeight="1" s="57">
      <c r="B28" s="81" t="inlineStr">
        <is>
          <t>7. Synthesis</t>
        </is>
      </c>
      <c r="C28" s="82" t="inlineStr">
        <is>
          <t>Aggregate ratings across all case studies to identify patterns, gaps, and strategic recommendations</t>
        </is>
      </c>
      <c r="D28" s="82" t="inlineStr">
        <is>
          <t>Comparative analysis table and narrative synthesis</t>
        </is>
      </c>
    </row>
    <row r="29"/>
    <row r="30" ht="25.5" customHeight="1" s="57">
      <c r="B30" s="76" t="inlineStr">
        <is>
          <t>QUALITY ASSURANCE MEASURES</t>
        </is>
      </c>
    </row>
    <row r="31" ht="27.75" customHeight="1" s="57">
      <c r="B31" s="81" t="inlineStr">
        <is>
          <t>Triangulation</t>
        </is>
      </c>
      <c r="C31" s="82" t="inlineStr">
        <is>
          <t>Ratings require convergence of at least two independent documentary sources</t>
        </is>
      </c>
      <c r="D31" s="67" t="n"/>
    </row>
    <row r="32" ht="27.75" customHeight="1" s="57">
      <c r="B32" s="81" t="inlineStr">
        <is>
          <t>Inter-rater Reliability</t>
        </is>
      </c>
      <c r="C32" s="82" t="inlineStr">
        <is>
          <t>Two independent assessors; Cohen's kappa (unweighted and linear-weighted) and Krippendorff's alpha (ordinal) calculated, with a bootstrap 95% CI (10,000 resamples)</t>
        </is>
      </c>
      <c r="D32" s="67" t="n"/>
    </row>
    <row r="33" ht="27.75" customHeight="1" s="57">
      <c r="B33" s="81" t="inlineStr">
        <is>
          <t>Audit Trail</t>
        </is>
      </c>
      <c r="C33" s="82" t="inlineStr">
        <is>
          <t>All evidence, ratings, and decision rationales documented and archived</t>
        </is>
      </c>
      <c r="D33" s="67" t="n"/>
    </row>
    <row r="34" ht="27.75" customHeight="1" s="57">
      <c r="B34" s="81" t="inlineStr">
        <is>
          <t>Source Transparency</t>
        </is>
      </c>
      <c r="C34" s="82" t="inlineStr">
        <is>
          <t>All sources cited with URLs and access dates for reproducibility</t>
        </is>
      </c>
      <c r="D34" s="67" t="n"/>
    </row>
    <row r="35" ht="27.75" customHeight="1" s="57">
      <c r="B35" s="81" t="inlineStr">
        <is>
          <t>Bias Mitigation</t>
        </is>
      </c>
      <c r="C35" s="82" t="inlineStr">
        <is>
          <t>No formal blind protocol; each assessor completed and recorded ratings before viewing the other's assessment</t>
        </is>
      </c>
      <c r="D35" s="67" t="n"/>
    </row>
    <row r="36" ht="27.75" customHeight="1" s="57">
      <c r="B36" s="81" t="inlineStr">
        <is>
          <t>Limitation Acknowledgment</t>
        </is>
      </c>
      <c r="C36" s="82" t="inlineStr">
        <is>
          <t>Documentary sources may not capture informal or recent developments</t>
        </is>
      </c>
      <c r="D36" s="67" t="n"/>
    </row>
    <row r="37" ht="27.75" customHeight="1" s="57">
      <c r="B37" s="81" t="inlineStr">
        <is>
          <t>PRISMA Disclaimer</t>
        </is>
      </c>
      <c r="C37" s="82" t="inlineStr">
        <is>
          <t>This is a structured documentary review, not a formal PRISMA systematic review. The case set is purposively selected.</t>
        </is>
      </c>
      <c r="D37" s="67" t="n"/>
    </row>
  </sheetData>
  <mergeCells count="19">
    <mergeCell ref="C34:D34"/>
    <mergeCell ref="C6:D6"/>
    <mergeCell ref="C33:D33"/>
    <mergeCell ref="B13:D13"/>
    <mergeCell ref="C35:D35"/>
    <mergeCell ref="C10:D10"/>
    <mergeCell ref="B30:D30"/>
    <mergeCell ref="C9:D9"/>
    <mergeCell ref="C31:D31"/>
    <mergeCell ref="B20:D20"/>
    <mergeCell ref="B5:D5"/>
    <mergeCell ref="C11:D11"/>
    <mergeCell ref="C36:D36"/>
    <mergeCell ref="C8:D8"/>
    <mergeCell ref="B3:D3"/>
    <mergeCell ref="C32:D32"/>
    <mergeCell ref="C7:D7"/>
    <mergeCell ref="C37:D37"/>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4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6" min="1" max="1"/>
    <col width="20" customWidth="1" style="56" min="2" max="2"/>
    <col width="18" customWidth="1" style="56" min="3" max="9"/>
    <col width="45" customWidth="1" style="56" min="10" max="10"/>
  </cols>
  <sheetData>
    <row r="1"/>
    <row r="2" ht="31.5" customHeight="1" s="57">
      <c r="B2" s="74" t="inlineStr">
        <is>
          <t>Comparative CPST Profiles of Case Studies</t>
        </is>
      </c>
    </row>
    <row r="3" ht="21.75" customHeight="1" s="57">
      <c r="B3" s="75" t="inlineStr">
        <is>
          <t>Ratings derived through structured qualitative assessment following the CPST protocol (Section 4 of main paper)</t>
        </is>
      </c>
    </row>
    <row r="4"/>
    <row r="5" ht="27.75" customHeight="1" s="57">
      <c r="B5" s="80" t="inlineStr">
        <is>
          <t>Dimension</t>
        </is>
      </c>
      <c r="C5" s="80" t="inlineStr">
        <is>
          <t>Ghana</t>
        </is>
      </c>
      <c r="D5" s="80" t="inlineStr">
        <is>
          <t>Nigeria</t>
        </is>
      </c>
      <c r="E5" s="80" t="inlineStr">
        <is>
          <t>Ethiopia</t>
        </is>
      </c>
      <c r="F5" s="80" t="inlineStr">
        <is>
          <t>South Africa</t>
        </is>
      </c>
      <c r="G5" s="80" t="inlineStr">
        <is>
          <t>Kenya</t>
        </is>
      </c>
      <c r="H5" s="114" t="inlineStr">
        <is>
          <t>South Sudan (Murle)</t>
        </is>
      </c>
      <c r="I5" s="135" t="n"/>
      <c r="J5" s="135" t="n"/>
      <c r="K5" s="56" t="inlineStr">
        <is>
          <t>Key Evidence Summary: South Sudan (Murle)</t>
        </is>
      </c>
    </row>
    <row r="6" ht="75" customHeight="1" s="57">
      <c r="B6" s="81" t="inlineStr">
        <is>
          <t>Cyber</t>
        </is>
      </c>
      <c r="C6" s="82" t="inlineStr">
        <is>
          <t>Strong (corpus)</t>
        </is>
      </c>
      <c r="D6" s="82" t="inlineStr">
        <is>
          <t>Strong (platform)</t>
        </is>
      </c>
      <c r="E6" s="82" t="inlineStr">
        <is>
          <t>Mixed (Amharic)</t>
        </is>
      </c>
      <c r="F6" s="82" t="inlineStr">
        <is>
          <t>Strong (speech, SLM)</t>
        </is>
      </c>
      <c r="G6" s="82" t="inlineStr">
        <is>
          <t>Moderate (AfriVoices-KE)</t>
        </is>
      </c>
      <c r="H6" s="85" t="inlineStr">
        <is>
          <t>Weak</t>
        </is>
      </c>
      <c r="I6" s="82" t="n"/>
      <c r="J6" s="83" t="n"/>
      <c r="K6" s="56" t="inlineStr">
        <is>
          <t>Most sub-criteria absent: no digital corpus (Hugging Face, Zenodo, OLAC), no language model, no MT (not in NLLB-200 or Google Translate), no benchmark, no API. One exception: Meta MMS-1B-all provides incidental Murle speech recognition (one of 1,162 languages). Systematic search of ACL Anthology, arXiv and Google Scholar (2017-2026) returned zero publications on Murle NLP.</t>
        </is>
      </c>
    </row>
    <row r="7" ht="75" customHeight="1" s="57">
      <c r="B7" s="81" t="inlineStr">
        <is>
          <t>Physical</t>
        </is>
      </c>
      <c r="C7" s="82" t="inlineStr">
        <is>
          <t>Weak</t>
        </is>
      </c>
      <c r="D7" s="82" t="inlineStr">
        <is>
          <t>Emerging</t>
        </is>
      </c>
      <c r="E7" s="82" t="inlineStr">
        <is>
          <t>Moderate (Unicode)</t>
        </is>
      </c>
      <c r="F7" s="82" t="inlineStr">
        <is>
          <t>Weak (minor languages)</t>
        </is>
      </c>
      <c r="G7" s="82" t="inlineStr">
        <is>
          <t>Weak</t>
        </is>
      </c>
      <c r="H7" s="85" t="inlineStr">
        <is>
          <t>Weak</t>
        </is>
      </c>
      <c r="I7" s="82" t="n"/>
      <c r="J7" s="83" t="n"/>
      <c r="K7" s="56" t="inlineStr">
        <is>
          <t>Only print resources are two reference grammars for linguists (Lyth 1971, Sudan Research Unit, University of Khartoum, reissued 2013; Arensen 1982, SIL, Juba); no learner, school or literacy materials in general distribution. No government curriculum; community radio in Murle not identified (IE); no offline technology; no public signage. Audio limited to SIL archival recordings and ~8 hours from Global Recordings Network.</t>
        </is>
      </c>
    </row>
    <row r="8" ht="75" customHeight="1" s="57">
      <c r="B8" s="81" t="inlineStr">
        <is>
          <t>Social</t>
        </is>
      </c>
      <c r="C8" s="82" t="inlineStr">
        <is>
          <t>Weak</t>
        </is>
      </c>
      <c r="D8" s="82" t="inlineStr">
        <is>
          <t>Strong (govt, learners)</t>
        </is>
      </c>
      <c r="E8" s="82" t="inlineStr">
        <is>
          <t>Moderate (policy)</t>
        </is>
      </c>
      <c r="F8" s="82" t="inlineStr">
        <is>
          <t>Moderate (11 official)</t>
        </is>
      </c>
      <c r="G8" s="82" t="inlineStr">
        <is>
          <t>Mixed (Swahili strong, others weak)</t>
        </is>
      </c>
      <c r="H8" s="85" t="inlineStr">
        <is>
          <t>Weak</t>
        </is>
      </c>
      <c r="I8" s="82" t="n"/>
      <c r="J8" s="83" t="n"/>
      <c r="K8" s="56" t="inlineStr">
        <is>
          <t>2011 Transitional Constitution recognises all indigenous languages as national languages, but no statutory framework or budget for Murle. Not part of the national curriculum (SIL/church literacy programmes in some communities). No dedicated funding. Research limited to descriptive linguistics and anthropology (Lyth 1971; Arensen 1982-1998); no contemporary computational or sociolinguistic study. Community organisations and awareness campaigns not identified (IE).</t>
        </is>
      </c>
    </row>
    <row r="9" ht="75" customHeight="1" s="57">
      <c r="B9" s="81" t="inlineStr">
        <is>
          <t>Thinking</t>
        </is>
      </c>
      <c r="C9" s="82" t="inlineStr">
        <is>
          <t>Weak</t>
        </is>
      </c>
      <c r="D9" s="82" t="inlineStr">
        <is>
          <t>Strong (design)</t>
        </is>
      </c>
      <c r="E9" s="82" t="inlineStr">
        <is>
          <t>Mixed (4)</t>
        </is>
      </c>
      <c r="F9" s="82" t="inlineStr">
        <is>
          <t>Moderate (urban/rural divide)</t>
        </is>
      </c>
      <c r="G9" s="82" t="inlineStr">
        <is>
          <t>Weak (urban youth)</t>
        </is>
      </c>
      <c r="H9" s="85" t="inlineStr">
        <is>
          <t>Weak</t>
        </is>
      </c>
      <c r="I9" s="82" t="n"/>
      <c r="J9" s="83" t="n"/>
      <c r="K9" s="56" t="inlineStr">
        <is>
          <t>Murle likely enjoys prestige within Murle communities, but no attitudinal survey identified (IE). No participatory design involving Murle communities in language technology identified. Intergenerational transmission uncertain due to protracted conflict; no systematic study identified (IE). Ethnic identity strong, particularly in relation to Jonglei conflict. Limited economic incentive to maintain Murle in urban contexts where English and Arabic dominate. No critical consciousness campaign linking language preservation to epistemic justice identified.</t>
        </is>
      </c>
    </row>
    <row r="10" ht="25.5" customHeight="1" s="57">
      <c r="B10" s="86" t="inlineStr">
        <is>
          <t>Profile Summary</t>
        </is>
      </c>
      <c r="C10" s="87" t="n">
        <v>2</v>
      </c>
      <c r="D10" s="87" t="n">
        <v>6</v>
      </c>
      <c r="E10" s="87" t="n">
        <v>4.5</v>
      </c>
      <c r="F10" s="87" t="n">
        <v>5</v>
      </c>
      <c r="G10" s="87" t="n">
        <v>3</v>
      </c>
      <c r="H10" s="87" t="n">
        <v>2</v>
      </c>
      <c r="I10" s="88" t="n"/>
      <c r="J10" s="88" t="n"/>
    </row>
    <row r="11"/>
    <row r="12"/>
    <row r="13"/>
    <row r="14" ht="15" customHeight="1" s="57">
      <c r="B14" s="89" t="inlineStr">
        <is>
          <t>Dimension</t>
        </is>
      </c>
      <c r="C14" s="89" t="inlineStr">
        <is>
          <t>Ghana</t>
        </is>
      </c>
      <c r="D14" s="89" t="inlineStr">
        <is>
          <t>Nigeria</t>
        </is>
      </c>
      <c r="E14" s="89" t="inlineStr">
        <is>
          <t>Ethiopia</t>
        </is>
      </c>
      <c r="F14" s="89" t="inlineStr">
        <is>
          <t>South Africa</t>
        </is>
      </c>
      <c r="G14" s="89" t="inlineStr">
        <is>
          <t>Kenya</t>
        </is>
      </c>
      <c r="H14" s="56" t="inlineStr">
        <is>
          <t>South Sudan (Murle)</t>
        </is>
      </c>
    </row>
    <row r="15" ht="15" customHeight="1" s="57">
      <c r="B15" s="90" t="inlineStr">
        <is>
          <t>Cyber</t>
        </is>
      </c>
      <c r="C15" s="90" t="n">
        <v>6</v>
      </c>
      <c r="D15" s="90" t="n">
        <v>6</v>
      </c>
      <c r="E15" s="90" t="n">
        <v>4</v>
      </c>
      <c r="F15" s="90" t="n">
        <v>6</v>
      </c>
      <c r="G15" s="90" t="n">
        <v>5</v>
      </c>
      <c r="H15" s="56" t="n">
        <v>2</v>
      </c>
    </row>
    <row r="16" ht="15" customHeight="1" s="57">
      <c r="B16" s="90" t="inlineStr">
        <is>
          <t>Physical</t>
        </is>
      </c>
      <c r="C16" s="90" t="n">
        <v>2</v>
      </c>
      <c r="D16" s="90" t="n">
        <v>3</v>
      </c>
      <c r="E16" s="90" t="n">
        <v>5</v>
      </c>
      <c r="F16" s="90" t="n">
        <v>2</v>
      </c>
      <c r="G16" s="90" t="n">
        <v>2</v>
      </c>
      <c r="H16" s="56" t="n">
        <v>2</v>
      </c>
    </row>
    <row r="17" ht="15" customHeight="1" s="57">
      <c r="B17" s="90" t="inlineStr">
        <is>
          <t>Social</t>
        </is>
      </c>
      <c r="C17" s="90" t="n">
        <v>2</v>
      </c>
      <c r="D17" s="90" t="n">
        <v>6</v>
      </c>
      <c r="E17" s="90" t="n">
        <v>5</v>
      </c>
      <c r="F17" s="90" t="n">
        <v>5</v>
      </c>
      <c r="G17" s="90" t="n">
        <v>4</v>
      </c>
      <c r="H17" s="56" t="n">
        <v>2</v>
      </c>
    </row>
    <row r="18" ht="15" customHeight="1" s="57">
      <c r="B18" s="90" t="inlineStr">
        <is>
          <t>Thinking</t>
        </is>
      </c>
      <c r="C18" s="90" t="n">
        <v>2</v>
      </c>
      <c r="D18" s="90" t="n">
        <v>6</v>
      </c>
      <c r="E18" s="90" t="n">
        <v>4</v>
      </c>
      <c r="F18" s="90" t="n">
        <v>5</v>
      </c>
      <c r="G18" s="90" t="n">
        <v>2</v>
      </c>
      <c r="H18" s="56" t="n">
        <v>2</v>
      </c>
    </row>
    <row r="19"/>
    <row r="20"/>
    <row r="21"/>
    <row r="22"/>
    <row r="23"/>
    <row r="24"/>
    <row r="25"/>
    <row r="26"/>
    <row r="27"/>
    <row r="28"/>
    <row r="29"/>
    <row r="30"/>
    <row r="31"/>
    <row r="32"/>
    <row r="33"/>
    <row r="34"/>
    <row r="35"/>
    <row r="36"/>
    <row r="37"/>
    <row r="38" ht="25.5" customHeight="1" s="57">
      <c r="B38" s="76" t="inlineStr">
        <is>
          <t>KEY DIAGNOSTIC FINDINGS</t>
        </is>
      </c>
    </row>
    <row r="39" ht="49.5" customHeight="1" s="57">
      <c r="B39" s="91" t="inlineStr">
        <is>
          <t>Ghana</t>
        </is>
      </c>
      <c r="C39" s="82" t="inlineStr">
        <is>
          <t>Strong Cyber foundation (GhanaNLP corpus) but requires Physical (textbooks, signage) and Social (community engagement beyond researchers) strengthening. Thinking dimension weak: limited participatory design, no prestige campaigns, extractive research risk noted.</t>
        </is>
      </c>
      <c r="D39" s="66" t="n"/>
      <c r="E39" s="66" t="n"/>
      <c r="F39" s="66" t="n"/>
      <c r="G39" s="66" t="n"/>
      <c r="H39" s="66" t="n"/>
      <c r="I39" s="66" t="n"/>
      <c r="J39" s="67" t="n"/>
    </row>
    <row r="40" ht="49.5" customHeight="1" s="57">
      <c r="B40" s="91" t="inlineStr">
        <is>
          <t>Nigeria</t>
        </is>
      </c>
      <c r="C40" s="82" t="inlineStr">
        <is>
          <t>Highest median (6.0): strong Cyber, Social and Thinking; weakest dimension Physical (Emerging, 3). Requires mechanisms for minority language inclusion beyond the initial 13 languages covered by NKENNE. Synthetic data generation may help scale.</t>
        </is>
      </c>
      <c r="D40" s="66" t="n"/>
      <c r="E40" s="66" t="n"/>
      <c r="F40" s="66" t="n"/>
      <c r="G40" s="66" t="n"/>
      <c r="H40" s="66" t="n"/>
      <c r="I40" s="66" t="n"/>
      <c r="J40" s="67" t="n"/>
    </row>
    <row r="41" ht="49.5" customHeight="1" s="57">
      <c r="B41" s="91" t="inlineStr">
        <is>
          <t>Ethiopia</t>
        </is>
      </c>
      <c r="C41" s="82" t="inlineStr">
        <is>
          <t>Most balanced profile (median 4.5, range 1.0). Thinking Mixed (4): mixed attitudes; proud but English dominates economic prestige (supported by AAU survey, n=218, and nationwide/school studies; not nationally representative). Moderate Physical infrastructure (Ge'ez Unicode, national broadcasting, mother-tongue primary education). Cyber Mixed (4): fragmented and under-resourced beyond Amharic; needs broader practical deployment for Oromo, Somali, Afar.</t>
        </is>
      </c>
      <c r="D41" s="66" t="n"/>
      <c r="E41" s="66" t="n"/>
      <c r="F41" s="66" t="n"/>
      <c r="G41" s="66" t="n"/>
      <c r="H41" s="66" t="n"/>
      <c r="I41" s="66" t="n"/>
      <c r="J41" s="67" t="n"/>
    </row>
    <row r="42" ht="49.5" customHeight="1" s="57">
      <c r="B42" s="91" t="inlineStr">
        <is>
          <t>South Africa</t>
        </is>
      </c>
      <c r="C42" s="82" t="inlineStr">
        <is>
          <t>Strong Cyber resources and Social policy support (11 official languages). Physical gaps persist for minor languages (Venda, Tsonga). Urban-rural Thinking disparities.</t>
        </is>
      </c>
      <c r="D42" s="66" t="n"/>
      <c r="E42" s="66" t="n"/>
      <c r="F42" s="66" t="n"/>
      <c r="G42" s="66" t="n"/>
      <c r="H42" s="66" t="n"/>
      <c r="I42" s="66" t="n"/>
      <c r="J42" s="67" t="n"/>
    </row>
    <row r="43" ht="49.5" customHeight="1" s="57">
      <c r="B43" s="91" t="inlineStr">
        <is>
          <t>Kenya</t>
        </is>
      </c>
      <c r="C43" s="82" t="inlineStr">
        <is>
          <t>Moderate Cyber (AfriVoices-KE) but weak Physical and Thinking for urban youth. Swahili dominance leaves 40+ indigenous languages underserved. Model needed for prestige elevation.</t>
        </is>
      </c>
      <c r="D43" s="66" t="n"/>
      <c r="E43" s="66" t="n"/>
      <c r="F43" s="66" t="n"/>
      <c r="G43" s="66" t="n"/>
      <c r="H43" s="66" t="n"/>
      <c r="I43" s="66" t="n"/>
      <c r="J43" s="67" t="n"/>
    </row>
    <row r="44">
      <c r="B44" s="56" t="inlineStr">
        <is>
          <t>South Sudan (Murle)</t>
        </is>
      </c>
      <c r="C44" s="56" t="inlineStr">
        <is>
          <t>Severely under-resourced Surmic language in South Sudan. Cyber Weak (2.0): most sub-criteria absent, but Meta MMS-1B-all provides incidental speech recognition support (key finding). Physical Weak (2.0): only two reference grammars (Lyth 1971; Arensen 1982) and archival recordings. Social Weak (2.0): 2011 Constitution recognises indigenous languages but no statutory framework for Murle. Thinking Weak (2.0): no community attitude data identified (IE on most sub-criteria). Working expectations: E1 supported (all four dimensions Weak, 2); E2 not supported (Cyber not the sole weakest). Range = 0 (all dimensions tied at 2.0).</t>
        </is>
      </c>
    </row>
  </sheetData>
  <mergeCells count="8">
    <mergeCell ref="B3:J3"/>
    <mergeCell ref="C39:J39"/>
    <mergeCell ref="C40:J40"/>
    <mergeCell ref="C43:J43"/>
    <mergeCell ref="C42:J42"/>
    <mergeCell ref="C41:J41"/>
    <mergeCell ref="B38:J38"/>
    <mergeCell ref="B2:J2"/>
  </mergeCells>
  <conditionalFormatting sqref="H6:H9">
    <cfRule type="dataBar" priority="2">
      <dataBar minLength="10" maxLength="90" showValue="1">
        <cfvo type="min" val="0"/>
        <cfvo type="max" val="0"/>
        <color rgb="FF4A90D9"/>
      </dataBar>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J6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6" min="1" max="1"/>
    <col width="22" customWidth="1" style="56" min="2" max="2"/>
    <col width="14" customWidth="1" style="56" min="3" max="3"/>
    <col width="18" customWidth="1" style="56" min="4" max="5"/>
    <col width="14" customWidth="1" style="56" min="6" max="6"/>
    <col width="18" customWidth="1" style="56" min="7" max="8"/>
    <col width="16" customWidth="1" style="56" min="9" max="9"/>
    <col width="45" customWidth="1" style="56" min="10" max="10"/>
  </cols>
  <sheetData>
    <row r="1"/>
    <row r="2" ht="31.5" customHeight="1" s="57">
      <c r="B2" s="74" t="inlineStr">
        <is>
          <t>African Language Coverage Across Major Benchmark Datasets</t>
        </is>
      </c>
    </row>
    <row r="3" ht="21.75" customHeight="1" s="57">
      <c r="B3" s="75" t="inlineStr">
        <is>
          <t>Quantitative evidence of dataset imbalance across major African NLP corpora (Table 11 in the revised manuscript)</t>
        </is>
      </c>
    </row>
    <row r="4"/>
    <row r="5" ht="31.5" customHeight="1" s="57">
      <c r="B5" s="80" t="inlineStr">
        <is>
          <t>Language</t>
        </is>
      </c>
      <c r="C5" s="80" t="inlineStr">
        <is>
          <t>ISO Code</t>
        </is>
      </c>
      <c r="D5" s="80" t="inlineStr">
        <is>
          <t>AfriSenti (tweets)</t>
        </is>
      </c>
      <c r="E5" s="80" t="inlineStr">
        <is>
          <t>MasakhaNER 2.0 (tokens)</t>
        </is>
      </c>
      <c r="F5" s="80" t="inlineStr">
        <is>
          <t>AfroLM (23 langs)</t>
        </is>
      </c>
      <c r="G5" s="80" t="inlineStr">
        <is>
          <t>NLLB-200</t>
        </is>
      </c>
      <c r="H5" s="80" t="inlineStr">
        <is>
          <t>Common Voice v18</t>
        </is>
      </c>
      <c r="I5" s="80" t="inlineStr">
        <is>
          <t>Status</t>
        </is>
      </c>
      <c r="J5" s="80" t="inlineStr">
        <is>
          <t>Notes</t>
        </is>
      </c>
    </row>
    <row r="6" ht="31.5" customHeight="1" s="57">
      <c r="B6" s="81" t="inlineStr">
        <is>
          <t>Hausa</t>
        </is>
      </c>
      <c r="C6" s="82" t="inlineStr">
        <is>
          <t>hau</t>
        </is>
      </c>
      <c r="D6" s="82" t="inlineStr">
        <is>
          <t>22,155 (19.7%)</t>
        </is>
      </c>
      <c r="E6" s="82" t="inlineStr">
        <is>
          <t>221,086 (5.95%)</t>
        </is>
      </c>
      <c r="F6" s="82" t="inlineStr">
        <is>
          <t>Yes</t>
        </is>
      </c>
      <c r="G6" s="82" t="inlineStr">
        <is>
          <t>Yes</t>
        </is>
      </c>
      <c r="H6" s="82" t="inlineStr">
        <is>
          <t>Yes</t>
        </is>
      </c>
      <c r="I6" s="92" t="inlineStr">
        <is>
          <t>Repeated</t>
        </is>
      </c>
      <c r="J6" s="83" t="inlineStr">
        <is>
          <t>Largest AfriSenti corpus; strong across all five corpora</t>
        </is>
      </c>
    </row>
    <row r="7" ht="31.5" customHeight="1" s="57">
      <c r="B7" s="81" t="inlineStr">
        <is>
          <t>Yoruba</t>
        </is>
      </c>
      <c r="C7" s="82" t="inlineStr">
        <is>
          <t>yor</t>
        </is>
      </c>
      <c r="D7" s="82" t="inlineStr">
        <is>
          <t>15,130 (13.5%)</t>
        </is>
      </c>
      <c r="E7" s="82" t="inlineStr">
        <is>
          <t>244,144 (6.57%)</t>
        </is>
      </c>
      <c r="F7" s="82" t="inlineStr">
        <is>
          <t>Yes</t>
        </is>
      </c>
      <c r="G7" s="82" t="inlineStr">
        <is>
          <t>Yes</t>
        </is>
      </c>
      <c r="H7" s="82" t="inlineStr">
        <is>
          <t>Yes</t>
        </is>
      </c>
      <c r="I7" s="92" t="inlineStr">
        <is>
          <t>Repeated</t>
        </is>
      </c>
      <c r="J7" s="83" t="inlineStr">
        <is>
          <t>Strong NER representation; consistent coverage</t>
        </is>
      </c>
    </row>
    <row r="8" ht="31.5" customHeight="1" s="57">
      <c r="B8" s="81" t="inlineStr">
        <is>
          <t>Igbo</t>
        </is>
      </c>
      <c r="C8" s="82" t="inlineStr">
        <is>
          <t>ibo</t>
        </is>
      </c>
      <c r="D8" s="82" t="inlineStr">
        <is>
          <t>15,718 (14.0%)</t>
        </is>
      </c>
      <c r="E8" s="82" t="inlineStr">
        <is>
          <t>344,095 (9.27%)</t>
        </is>
      </c>
      <c r="F8" s="82" t="inlineStr">
        <is>
          <t>Yes</t>
        </is>
      </c>
      <c r="G8" s="82" t="inlineStr">
        <is>
          <t>Yes</t>
        </is>
      </c>
      <c r="H8" s="82" t="inlineStr">
        <is>
          <t>Yes (&lt;1 h validated)</t>
        </is>
      </c>
      <c r="I8" s="92" t="inlineStr">
        <is>
          <t>Repeated</t>
        </is>
      </c>
      <c r="J8" s="83" t="inlineStr">
        <is>
          <t>Largest MasakhaNER 2.0 share</t>
        </is>
      </c>
    </row>
    <row r="9" ht="31.5" customHeight="1" s="57">
      <c r="B9" s="81" t="inlineStr">
        <is>
          <t>Swahili</t>
        </is>
      </c>
      <c r="C9" s="82" t="inlineStr">
        <is>
          <t>swa</t>
        </is>
      </c>
      <c r="D9" s="82" t="inlineStr">
        <is>
          <t>3,014 (2.7%)</t>
        </is>
      </c>
      <c r="E9" s="82" t="inlineStr">
        <is>
          <t>251,678 (6.78%)</t>
        </is>
      </c>
      <c r="F9" s="82" t="inlineStr">
        <is>
          <t>Yes</t>
        </is>
      </c>
      <c r="G9" s="82" t="inlineStr">
        <is>
          <t>Yes</t>
        </is>
      </c>
      <c r="H9" s="82" t="inlineStr">
        <is>
          <t>Yes</t>
        </is>
      </c>
      <c r="I9" s="92" t="inlineStr">
        <is>
          <t>Repeated</t>
        </is>
      </c>
      <c r="J9" s="83" t="inlineStr">
        <is>
          <t>Major lingua franca; largest Common Voice share in sample</t>
        </is>
      </c>
    </row>
    <row r="10" ht="31.5" customHeight="1" s="57">
      <c r="B10" s="81" t="inlineStr">
        <is>
          <t>Kinyarwanda</t>
        </is>
      </c>
      <c r="C10" s="82" t="inlineStr">
        <is>
          <t>kin</t>
        </is>
      </c>
      <c r="D10" s="82" t="inlineStr">
        <is>
          <t>5,158 (4.6%)</t>
        </is>
      </c>
      <c r="E10" s="82" t="inlineStr">
        <is>
          <t>245,933 (6.62%)</t>
        </is>
      </c>
      <c r="F10" s="82" t="inlineStr">
        <is>
          <t>Yes</t>
        </is>
      </c>
      <c r="G10" s="82" t="inlineStr">
        <is>
          <t>Yes</t>
        </is>
      </c>
      <c r="H10" s="82" t="inlineStr">
        <is>
          <t>Yes</t>
        </is>
      </c>
      <c r="I10" s="92" t="inlineStr">
        <is>
          <t>Repeated</t>
        </is>
      </c>
      <c r="J10" s="83" t="inlineStr">
        <is>
          <t>Bantu language of Rwanda; very large Common Voice speech corpus</t>
        </is>
      </c>
    </row>
    <row r="11" ht="31.5" customHeight="1" s="57">
      <c r="B11" s="81" t="inlineStr">
        <is>
          <t>Twi</t>
        </is>
      </c>
      <c r="C11" s="82" t="inlineStr">
        <is>
          <t>twi</t>
        </is>
      </c>
      <c r="D11" s="82" t="inlineStr">
        <is>
          <t>4,821 (4.3%)</t>
        </is>
      </c>
      <c r="E11" s="82" t="inlineStr">
        <is>
          <t>155,985 (4.20%)</t>
        </is>
      </c>
      <c r="F11" s="82" t="inlineStr">
        <is>
          <t>Yes</t>
        </is>
      </c>
      <c r="G11" s="82" t="inlineStr">
        <is>
          <t>Yes</t>
        </is>
      </c>
      <c r="H11" s="82" t="inlineStr">
        <is>
          <t>Yes (&lt;1 h validated)</t>
        </is>
      </c>
      <c r="I11" s="92" t="inlineStr">
        <is>
          <t>Repeated</t>
        </is>
      </c>
      <c r="J11" s="83" t="inlineStr">
        <is>
          <t>Major Ghanaian Kwa language</t>
        </is>
      </c>
    </row>
    <row r="12" ht="31.5" customHeight="1" s="57">
      <c r="B12" s="81" t="inlineStr">
        <is>
          <t>Amharic</t>
        </is>
      </c>
      <c r="C12" s="82" t="inlineStr">
        <is>
          <t>amh</t>
        </is>
      </c>
      <c r="D12" s="82" t="inlineStr">
        <is>
          <t>9,480 (8.4%)</t>
        </is>
      </c>
      <c r="E12" s="82" t="inlineStr">
        <is>
          <t>---</t>
        </is>
      </c>
      <c r="F12" s="82" t="inlineStr">
        <is>
          <t>Yes</t>
        </is>
      </c>
      <c r="G12" s="82" t="inlineStr">
        <is>
          <t>Yes</t>
        </is>
      </c>
      <c r="H12" s="82" t="inlineStr">
        <is>
          <t>Yes</t>
        </is>
      </c>
      <c r="I12" s="92" t="inlineStr">
        <is>
          <t>Repeated</t>
        </is>
      </c>
      <c r="J12" s="83" t="inlineStr">
        <is>
          <t>Ge'ez script; major Ethiopian language (in MasakhaNER 1.0, not 2.0)</t>
        </is>
      </c>
    </row>
    <row r="13" ht="31.5" customHeight="1" s="57">
      <c r="B13" s="81" t="inlineStr">
        <is>
          <t>Luo (Dholuo)</t>
        </is>
      </c>
      <c r="C13" s="82" t="inlineStr">
        <is>
          <t>luo</t>
        </is>
      </c>
      <c r="D13" s="82" t="inlineStr">
        <is>
          <t>---</t>
        </is>
      </c>
      <c r="E13" s="82" t="inlineStr">
        <is>
          <t>229,927 (6.19%)</t>
        </is>
      </c>
      <c r="F13" s="82" t="inlineStr">
        <is>
          <t>Yes</t>
        </is>
      </c>
      <c r="G13" s="82" t="inlineStr">
        <is>
          <t>Yes</t>
        </is>
      </c>
      <c r="H13" s="82" t="inlineStr">
        <is>
          <t>Yes</t>
        </is>
      </c>
      <c r="I13" s="92" t="inlineStr">
        <is>
          <t>Repeated</t>
        </is>
      </c>
      <c r="J13" s="83" t="inlineStr">
        <is>
          <t>Nilotic language of Kenya/Tanzania; added to Common Voice in v18</t>
        </is>
      </c>
    </row>
    <row r="14" ht="31.5" customHeight="1" s="57">
      <c r="B14" s="81" t="inlineStr">
        <is>
          <t>Luganda</t>
        </is>
      </c>
      <c r="C14" s="82" t="inlineStr">
        <is>
          <t>lug</t>
        </is>
      </c>
      <c r="D14" s="82" t="inlineStr">
        <is>
          <t>---</t>
        </is>
      </c>
      <c r="E14" s="82" t="inlineStr">
        <is>
          <t>120,119 (3.23%)</t>
        </is>
      </c>
      <c r="F14" s="82" t="inlineStr">
        <is>
          <t>Yes</t>
        </is>
      </c>
      <c r="G14" s="82" t="inlineStr">
        <is>
          <t>Yes</t>
        </is>
      </c>
      <c r="H14" s="82" t="inlineStr">
        <is>
          <t>Yes</t>
        </is>
      </c>
      <c r="I14" s="92" t="inlineStr">
        <is>
          <t>Repeated</t>
        </is>
      </c>
      <c r="J14" s="83" t="inlineStr">
        <is>
          <t>Bantu language of Uganda; large Common Voice speech corpus</t>
        </is>
      </c>
    </row>
    <row r="15" ht="31.5" customHeight="1" s="57">
      <c r="B15" s="81" t="inlineStr">
        <is>
          <t>Zulu</t>
        </is>
      </c>
      <c r="C15" s="82" t="inlineStr">
        <is>
          <t>zul</t>
        </is>
      </c>
      <c r="D15" s="82" t="inlineStr">
        <is>
          <t>---</t>
        </is>
      </c>
      <c r="E15" s="82" t="inlineStr">
        <is>
          <t>128,658 (3.46%)</t>
        </is>
      </c>
      <c r="F15" s="82" t="inlineStr">
        <is>
          <t>Yes</t>
        </is>
      </c>
      <c r="G15" s="82" t="inlineStr">
        <is>
          <t>Yes</t>
        </is>
      </c>
      <c r="H15" s="82" t="inlineStr">
        <is>
          <t>Yes (&lt;1 h validated)</t>
        </is>
      </c>
      <c r="I15" s="92" t="inlineStr">
        <is>
          <t>Repeated</t>
        </is>
      </c>
      <c r="J15" s="83" t="inlineStr">
        <is>
          <t>Nguni Bantu; South African official language</t>
        </is>
      </c>
    </row>
    <row r="16" ht="31.5" customHeight="1" s="57">
      <c r="B16" s="81" t="inlineStr">
        <is>
          <t>Xhosa</t>
        </is>
      </c>
      <c r="C16" s="82" t="inlineStr">
        <is>
          <t>xho</t>
        </is>
      </c>
      <c r="D16" s="82" t="inlineStr">
        <is>
          <t>---</t>
        </is>
      </c>
      <c r="E16" s="82" t="inlineStr">
        <is>
          <t>127,222 (3.43%)</t>
        </is>
      </c>
      <c r="F16" s="82" t="inlineStr">
        <is>
          <t>Yes</t>
        </is>
      </c>
      <c r="G16" s="82" t="inlineStr">
        <is>
          <t>Yes</t>
        </is>
      </c>
      <c r="H16" s="82" t="inlineStr">
        <is>
          <t>Yes (&lt;1 h validated)</t>
        </is>
      </c>
      <c r="I16" s="92" t="inlineStr">
        <is>
          <t>Repeated</t>
        </is>
      </c>
      <c r="J16" s="83" t="inlineStr">
        <is>
          <t>Nguni Bantu; added to Common Voice in v18</t>
        </is>
      </c>
    </row>
    <row r="17" ht="31.5" customHeight="1" s="57">
      <c r="B17" s="81" t="inlineStr">
        <is>
          <t>Setswana</t>
        </is>
      </c>
      <c r="C17" s="82" t="inlineStr">
        <is>
          <t>tsn</t>
        </is>
      </c>
      <c r="D17" s="82" t="inlineStr">
        <is>
          <t>---</t>
        </is>
      </c>
      <c r="E17" s="82" t="inlineStr">
        <is>
          <t>141,069 (3.80%)</t>
        </is>
      </c>
      <c r="F17" s="82" t="inlineStr">
        <is>
          <t>Yes</t>
        </is>
      </c>
      <c r="G17" s="82" t="inlineStr">
        <is>
          <t>Yes</t>
        </is>
      </c>
      <c r="H17" s="82" t="inlineStr">
        <is>
          <t>Yes (&lt;1 h validated)</t>
        </is>
      </c>
      <c r="I17" s="92" t="inlineStr">
        <is>
          <t>Repeated</t>
        </is>
      </c>
      <c r="J17" s="83" t="inlineStr">
        <is>
          <t>Bantu language of Botswana/South Africa; added to Common Voice in v18</t>
        </is>
      </c>
    </row>
    <row r="18" s="57">
      <c r="B18" s="93" t="n"/>
      <c r="C18" s="82" t="n"/>
      <c r="D18" s="82" t="n"/>
      <c r="E18" s="82" t="n"/>
      <c r="F18" s="82" t="n"/>
      <c r="G18" s="82" t="n"/>
      <c r="H18" s="82" t="n"/>
      <c r="I18" s="96" t="n"/>
      <c r="J18" s="83" t="n"/>
    </row>
    <row r="19" ht="31.5" customHeight="1" s="57">
      <c r="B19" s="93" t="inlineStr">
        <is>
          <t>Oromo</t>
        </is>
      </c>
      <c r="C19" s="82" t="inlineStr">
        <is>
          <t>orm</t>
        </is>
      </c>
      <c r="D19" s="82" t="inlineStr">
        <is>
          <t>2,494 (2.2%)*</t>
        </is>
      </c>
      <c r="E19" s="82" t="inlineStr">
        <is>
          <t>---</t>
        </is>
      </c>
      <c r="F19" s="82" t="inlineStr">
        <is>
          <t>Yes</t>
        </is>
      </c>
      <c r="G19" s="82" t="inlineStr">
        <is>
          <t>Yes</t>
        </is>
      </c>
      <c r="H19" s="82" t="inlineStr">
        <is>
          <t>---</t>
        </is>
      </c>
      <c r="I19" s="96" t="inlineStr">
        <is>
          <t>Sparse</t>
        </is>
      </c>
      <c r="J19" s="83" t="inlineStr">
        <is>
          <t>Major Cushitic language; *AfriSenti dev/test only; NLLB-200 covers West Central Oromo (gaz)</t>
        </is>
      </c>
    </row>
    <row r="20" ht="31.5" customHeight="1" s="57">
      <c r="B20" s="93" t="inlineStr">
        <is>
          <t>Tigrinya</t>
        </is>
      </c>
      <c r="C20" s="82" t="inlineStr">
        <is>
          <t>tir</t>
        </is>
      </c>
      <c r="D20" s="82" t="inlineStr">
        <is>
          <t>2,400 (2.1%)*</t>
        </is>
      </c>
      <c r="E20" s="82" t="inlineStr">
        <is>
          <t>---</t>
        </is>
      </c>
      <c r="F20" s="82" t="inlineStr">
        <is>
          <t>---</t>
        </is>
      </c>
      <c r="G20" s="82" t="inlineStr">
        <is>
          <t>Yes</t>
        </is>
      </c>
      <c r="H20" s="82" t="inlineStr">
        <is>
          <t>Yes (&lt;1 h validated)</t>
        </is>
      </c>
      <c r="I20" s="96" t="inlineStr">
        <is>
          <t>Sparse</t>
        </is>
      </c>
      <c r="J20" s="83" t="inlineStr">
        <is>
          <t>Ge'ez script; *AfriSenti dev/test only</t>
        </is>
      </c>
    </row>
    <row r="21" ht="31.5" customHeight="1" s="57">
      <c r="B21" s="93" t="inlineStr">
        <is>
          <t>Naija Pidgin</t>
        </is>
      </c>
      <c r="C21" s="82" t="inlineStr">
        <is>
          <t>pcm</t>
        </is>
      </c>
      <c r="D21" s="82" t="inlineStr">
        <is>
          <t>10,559 (9.4%)</t>
        </is>
      </c>
      <c r="E21" s="82" t="inlineStr">
        <is>
          <t>206,404 (5.56%)</t>
        </is>
      </c>
      <c r="F21" s="82" t="inlineStr">
        <is>
          <t>Yes</t>
        </is>
      </c>
      <c r="G21" s="82" t="inlineStr">
        <is>
          <t>---</t>
        </is>
      </c>
      <c r="H21" s="82" t="inlineStr">
        <is>
          <t>---</t>
        </is>
      </c>
      <c r="I21" s="96" t="inlineStr">
        <is>
          <t>Sparse</t>
        </is>
      </c>
      <c r="J21" s="83" t="inlineStr">
        <is>
          <t>Widely spoken Nigerian creole; not in NLLB-200</t>
        </is>
      </c>
    </row>
    <row r="22" ht="31.5" customHeight="1" s="57">
      <c r="B22" s="93" t="inlineStr">
        <is>
          <t>Wolof</t>
        </is>
      </c>
      <c r="C22" s="82" t="inlineStr">
        <is>
          <t>wol</t>
        </is>
      </c>
      <c r="D22" s="82" t="inlineStr">
        <is>
          <t>---</t>
        </is>
      </c>
      <c r="E22" s="82" t="inlineStr">
        <is>
          <t>181,048 (4.88%)</t>
        </is>
      </c>
      <c r="F22" s="82" t="inlineStr">
        <is>
          <t>Yes</t>
        </is>
      </c>
      <c r="G22" s="82" t="inlineStr">
        <is>
          <t>Yes</t>
        </is>
      </c>
      <c r="H22" s="82" t="inlineStr">
        <is>
          <t>---</t>
        </is>
      </c>
      <c r="I22" s="96" t="inlineStr">
        <is>
          <t>Sparse</t>
        </is>
      </c>
      <c r="J22" s="83" t="inlineStr">
        <is>
          <t>Senegal lingua franca; no speech data</t>
        </is>
      </c>
    </row>
    <row r="23" ht="31.5" customHeight="1" s="57">
      <c r="B23" s="93" t="inlineStr">
        <is>
          <t>Shona</t>
        </is>
      </c>
      <c r="C23" s="82" t="inlineStr">
        <is>
          <t>sna</t>
        </is>
      </c>
      <c r="D23" s="82" t="inlineStr">
        <is>
          <t>---</t>
        </is>
      </c>
      <c r="E23" s="82" t="inlineStr">
        <is>
          <t>195,834 (5.27%)</t>
        </is>
      </c>
      <c r="F23" s="82" t="inlineStr">
        <is>
          <t>Yes</t>
        </is>
      </c>
      <c r="G23" s="82" t="inlineStr">
        <is>
          <t>Yes</t>
        </is>
      </c>
      <c r="H23" s="82" t="inlineStr">
        <is>
          <t>---</t>
        </is>
      </c>
      <c r="I23" s="96" t="inlineStr">
        <is>
          <t>Sparse</t>
        </is>
      </c>
      <c r="J23" s="83" t="inlineStr">
        <is>
          <t>Major Bantu language of Zimbabwe</t>
        </is>
      </c>
    </row>
    <row r="24" ht="31.5" customHeight="1" s="57">
      <c r="B24" s="93" t="inlineStr">
        <is>
          <t>Chichewa</t>
        </is>
      </c>
      <c r="C24" s="82" t="inlineStr">
        <is>
          <t>nya</t>
        </is>
      </c>
      <c r="D24" s="82" t="inlineStr">
        <is>
          <t>---</t>
        </is>
      </c>
      <c r="E24" s="82" t="inlineStr">
        <is>
          <t>263,622 (7.10%)</t>
        </is>
      </c>
      <c r="F24" s="82" t="inlineStr">
        <is>
          <t>Yes</t>
        </is>
      </c>
      <c r="G24" s="82" t="inlineStr">
        <is>
          <t>Yes</t>
        </is>
      </c>
      <c r="H24" s="82" t="inlineStr">
        <is>
          <t>---</t>
        </is>
      </c>
      <c r="I24" s="96" t="inlineStr">
        <is>
          <t>Sparse</t>
        </is>
      </c>
      <c r="J24" s="83" t="inlineStr">
        <is>
          <t>Bantu lingua franca of Malawi; strong MasakhaNER 2.0 representation</t>
        </is>
      </c>
    </row>
    <row r="25" ht="31.5" customHeight="1" s="57">
      <c r="B25" s="93" t="inlineStr">
        <is>
          <t>Ewe</t>
        </is>
      </c>
      <c r="C25" s="82" t="inlineStr">
        <is>
          <t>ewe</t>
        </is>
      </c>
      <c r="D25" s="82" t="inlineStr">
        <is>
          <t>---</t>
        </is>
      </c>
      <c r="E25" s="82" t="inlineStr">
        <is>
          <t>90,420 (2.43%)</t>
        </is>
      </c>
      <c r="F25" s="82" t="inlineStr">
        <is>
          <t>Yes</t>
        </is>
      </c>
      <c r="G25" s="82" t="inlineStr">
        <is>
          <t>Yes</t>
        </is>
      </c>
      <c r="H25" s="82" t="inlineStr">
        <is>
          <t>---</t>
        </is>
      </c>
      <c r="I25" s="96" t="inlineStr">
        <is>
          <t>Sparse</t>
        </is>
      </c>
      <c r="J25" s="83" t="inlineStr">
        <is>
          <t>Ghana/Togo Kwa language</t>
        </is>
      </c>
    </row>
    <row r="26" ht="31.5" customHeight="1" s="57">
      <c r="B26" s="93" t="inlineStr">
        <is>
          <t>Bambara</t>
        </is>
      </c>
      <c r="C26" s="82" t="inlineStr">
        <is>
          <t>bam</t>
        </is>
      </c>
      <c r="D26" s="82" t="inlineStr">
        <is>
          <t>---</t>
        </is>
      </c>
      <c r="E26" s="82" t="inlineStr">
        <is>
          <t>155,552 (4.19%)</t>
        </is>
      </c>
      <c r="F26" s="82" t="inlineStr">
        <is>
          <t>Yes</t>
        </is>
      </c>
      <c r="G26" s="82" t="inlineStr">
        <is>
          <t>Yes</t>
        </is>
      </c>
      <c r="H26" s="82" t="inlineStr">
        <is>
          <t>---</t>
        </is>
      </c>
      <c r="I26" s="96" t="inlineStr">
        <is>
          <t>Sparse</t>
        </is>
      </c>
      <c r="J26" s="83" t="inlineStr">
        <is>
          <t>Major Mande language</t>
        </is>
      </c>
    </row>
    <row r="27" ht="31.5" customHeight="1" s="57">
      <c r="B27" s="93" t="inlineStr">
        <is>
          <t>Fon</t>
        </is>
      </c>
      <c r="C27" s="82" t="inlineStr">
        <is>
          <t>fon</t>
        </is>
      </c>
      <c r="D27" s="82" t="inlineStr">
        <is>
          <t>---</t>
        </is>
      </c>
      <c r="E27" s="82" t="inlineStr">
        <is>
          <t>173,099 (4.66%)</t>
        </is>
      </c>
      <c r="F27" s="82" t="inlineStr">
        <is>
          <t>Yes</t>
        </is>
      </c>
      <c r="G27" s="82" t="inlineStr">
        <is>
          <t>Yes</t>
        </is>
      </c>
      <c r="H27" s="82" t="inlineStr">
        <is>
          <t>---</t>
        </is>
      </c>
      <c r="I27" s="96" t="inlineStr">
        <is>
          <t>Sparse</t>
        </is>
      </c>
      <c r="J27" s="83" t="inlineStr">
        <is>
          <t>Benin/Nigeria Kwa language</t>
        </is>
      </c>
    </row>
    <row r="28" ht="31.5" customHeight="1" s="57">
      <c r="B28" s="93" t="inlineStr">
        <is>
          <t>Mooré</t>
        </is>
      </c>
      <c r="C28" s="82" t="inlineStr">
        <is>
          <t>mos</t>
        </is>
      </c>
      <c r="D28" s="82" t="inlineStr">
        <is>
          <t>---</t>
        </is>
      </c>
      <c r="E28" s="82" t="inlineStr">
        <is>
          <t>168,141 (4.53%)</t>
        </is>
      </c>
      <c r="F28" s="82" t="inlineStr">
        <is>
          <t>Yes</t>
        </is>
      </c>
      <c r="G28" s="82" t="inlineStr">
        <is>
          <t>Yes</t>
        </is>
      </c>
      <c r="H28" s="82" t="inlineStr">
        <is>
          <t>---</t>
        </is>
      </c>
      <c r="I28" s="96" t="inlineStr">
        <is>
          <t>Sparse</t>
        </is>
      </c>
      <c r="J28" s="83" t="inlineStr">
        <is>
          <t>Gur language of Burkina Faso</t>
        </is>
      </c>
    </row>
    <row r="29" ht="31.5" customHeight="1" s="57">
      <c r="B29" s="93" t="inlineStr">
        <is>
          <t>Ghomala</t>
        </is>
      </c>
      <c r="C29" s="82" t="inlineStr">
        <is>
          <t>bbj</t>
        </is>
      </c>
      <c r="D29" s="82" t="inlineStr">
        <is>
          <t>---</t>
        </is>
      </c>
      <c r="E29" s="82" t="inlineStr">
        <is>
          <t>69,474 (1.87%)</t>
        </is>
      </c>
      <c r="F29" s="82" t="inlineStr">
        <is>
          <t>Yes</t>
        </is>
      </c>
      <c r="G29" s="82" t="inlineStr">
        <is>
          <t>---</t>
        </is>
      </c>
      <c r="H29" s="82" t="inlineStr">
        <is>
          <t>---</t>
        </is>
      </c>
      <c r="I29" s="96" t="inlineStr">
        <is>
          <t>Sparse</t>
        </is>
      </c>
      <c r="J29" s="83" t="inlineStr">
        <is>
          <t>Grassfields Bantu language of Cameroon</t>
        </is>
      </c>
    </row>
    <row r="30" ht="31.5" customHeight="1" s="57">
      <c r="B30" s="93" t="inlineStr">
        <is>
          <t>Moroccan Arabic</t>
        </is>
      </c>
      <c r="C30" s="82" t="inlineStr">
        <is>
          <t>ary</t>
        </is>
      </c>
      <c r="D30" s="82" t="inlineStr">
        <is>
          <t>9,762 (8.7%)</t>
        </is>
      </c>
      <c r="E30" s="82" t="inlineStr">
        <is>
          <t>---</t>
        </is>
      </c>
      <c r="F30" s="82" t="inlineStr">
        <is>
          <t>---</t>
        </is>
      </c>
      <c r="G30" s="82" t="inlineStr">
        <is>
          <t>Yes</t>
        </is>
      </c>
      <c r="H30" s="82" t="inlineStr">
        <is>
          <t>---</t>
        </is>
      </c>
      <c r="I30" s="96" t="inlineStr">
        <is>
          <t>Sparse</t>
        </is>
      </c>
      <c r="J30" s="83" t="inlineStr">
        <is>
          <t>Afro-Asiatic Semitic dialect</t>
        </is>
      </c>
    </row>
    <row r="31" ht="31.5" customHeight="1" s="57">
      <c r="B31" s="93" t="inlineStr">
        <is>
          <t>Afrikaans</t>
        </is>
      </c>
      <c r="C31" s="82" t="inlineStr">
        <is>
          <t>afr</t>
        </is>
      </c>
      <c r="D31" s="82" t="inlineStr">
        <is>
          <t>---</t>
        </is>
      </c>
      <c r="E31" s="82" t="inlineStr">
        <is>
          <t>---</t>
        </is>
      </c>
      <c r="F31" s="82" t="inlineStr">
        <is>
          <t>---</t>
        </is>
      </c>
      <c r="G31" s="82" t="inlineStr">
        <is>
          <t>Yes</t>
        </is>
      </c>
      <c r="H31" s="82" t="inlineStr">
        <is>
          <t>Yes (&lt;1 h validated)</t>
        </is>
      </c>
      <c r="I31" s="96" t="inlineStr">
        <is>
          <t>Sparse</t>
        </is>
      </c>
      <c r="J31" s="83" t="inlineStr">
        <is>
          <t>Indo-European language of South Africa</t>
        </is>
      </c>
    </row>
    <row r="32" ht="31.5" customHeight="1" s="57">
      <c r="B32" s="93" t="inlineStr">
        <is>
          <t>Lingala</t>
        </is>
      </c>
      <c r="C32" s="82" t="inlineStr">
        <is>
          <t>lin</t>
        </is>
      </c>
      <c r="D32" s="82" t="inlineStr">
        <is>
          <t>---</t>
        </is>
      </c>
      <c r="E32" s="82" t="inlineStr">
        <is>
          <t>---</t>
        </is>
      </c>
      <c r="F32" s="82" t="inlineStr">
        <is>
          <t>Yes</t>
        </is>
      </c>
      <c r="G32" s="82" t="inlineStr">
        <is>
          <t>Yes</t>
        </is>
      </c>
      <c r="H32" s="82" t="inlineStr">
        <is>
          <t>---</t>
        </is>
      </c>
      <c r="I32" s="96" t="inlineStr">
        <is>
          <t>Sparse</t>
        </is>
      </c>
      <c r="J32" s="83" t="inlineStr">
        <is>
          <t>Bantu lingua franca</t>
        </is>
      </c>
    </row>
    <row r="33" ht="31.5" customHeight="1" s="57">
      <c r="B33" s="93" t="inlineStr">
        <is>
          <t>Sepedi</t>
        </is>
      </c>
      <c r="C33" s="82" t="inlineStr">
        <is>
          <t>nso</t>
        </is>
      </c>
      <c r="D33" s="82" t="inlineStr">
        <is>
          <t>---</t>
        </is>
      </c>
      <c r="E33" s="82" t="inlineStr">
        <is>
          <t>---</t>
        </is>
      </c>
      <c r="F33" s="82" t="inlineStr">
        <is>
          <t>---</t>
        </is>
      </c>
      <c r="G33" s="82" t="inlineStr">
        <is>
          <t>Yes</t>
        </is>
      </c>
      <c r="H33" s="82" t="inlineStr">
        <is>
          <t>Yes (&lt;1 h validated)</t>
        </is>
      </c>
      <c r="I33" s="96" t="inlineStr">
        <is>
          <t>Sparse</t>
        </is>
      </c>
      <c r="J33" s="83" t="inlineStr">
        <is>
          <t>Bantu language of South Africa</t>
        </is>
      </c>
    </row>
    <row r="34" ht="31.5" customHeight="1" s="57">
      <c r="B34" s="93" t="inlineStr">
        <is>
          <t>Somali</t>
        </is>
      </c>
      <c r="C34" s="82" t="inlineStr">
        <is>
          <t>som</t>
        </is>
      </c>
      <c r="D34" s="82" t="inlineStr">
        <is>
          <t>---</t>
        </is>
      </c>
      <c r="E34" s="82" t="inlineStr">
        <is>
          <t>---</t>
        </is>
      </c>
      <c r="F34" s="82" t="inlineStr">
        <is>
          <t>---</t>
        </is>
      </c>
      <c r="G34" s="82" t="inlineStr">
        <is>
          <t>Yes</t>
        </is>
      </c>
      <c r="H34" s="82" t="inlineStr">
        <is>
          <t>---</t>
        </is>
      </c>
      <c r="I34" s="96" t="inlineStr">
        <is>
          <t>Sparse</t>
        </is>
      </c>
      <c r="J34" s="83" t="inlineStr">
        <is>
          <t>Afro-Asiatic; NLLB-200 only</t>
        </is>
      </c>
    </row>
    <row r="35" ht="31.5" customHeight="1" s="57">
      <c r="B35" s="93" t="inlineStr">
        <is>
          <t>Malagasy</t>
        </is>
      </c>
      <c r="C35" s="82" t="inlineStr">
        <is>
          <t>mlg</t>
        </is>
      </c>
      <c r="D35" s="82" t="inlineStr">
        <is>
          <t>---</t>
        </is>
      </c>
      <c r="E35" s="82" t="inlineStr">
        <is>
          <t>---</t>
        </is>
      </c>
      <c r="F35" s="82" t="inlineStr">
        <is>
          <t>---</t>
        </is>
      </c>
      <c r="G35" s="82" t="inlineStr">
        <is>
          <t>Yes</t>
        </is>
      </c>
      <c r="H35" s="82" t="inlineStr">
        <is>
          <t>---</t>
        </is>
      </c>
      <c r="I35" s="96" t="inlineStr">
        <is>
          <t>Sparse</t>
        </is>
      </c>
      <c r="J35" s="83" t="inlineStr">
        <is>
          <t>Austronesian; NLLB-200 only (Plateau Malagasy, plt)</t>
        </is>
      </c>
    </row>
    <row r="36" ht="31.5" customHeight="1" s="57">
      <c r="B36" s="93" t="inlineStr">
        <is>
          <t>Sesotho</t>
        </is>
      </c>
      <c r="C36" s="82" t="inlineStr">
        <is>
          <t>sot</t>
        </is>
      </c>
      <c r="D36" s="82" t="inlineStr">
        <is>
          <t>---</t>
        </is>
      </c>
      <c r="E36" s="82" t="inlineStr">
        <is>
          <t>---</t>
        </is>
      </c>
      <c r="F36" s="82" t="inlineStr">
        <is>
          <t>---</t>
        </is>
      </c>
      <c r="G36" s="82" t="inlineStr">
        <is>
          <t>Yes</t>
        </is>
      </c>
      <c r="H36" s="82" t="inlineStr">
        <is>
          <t>---</t>
        </is>
      </c>
      <c r="I36" s="96" t="inlineStr">
        <is>
          <t>Sparse</t>
        </is>
      </c>
      <c r="J36" s="83" t="inlineStr">
        <is>
          <t>Bantu language of Lesotho/South Africa; NLLB-200 only</t>
        </is>
      </c>
    </row>
    <row r="37" ht="31.5" customHeight="1" s="57">
      <c r="B37" s="93" t="inlineStr">
        <is>
          <t>Nuer</t>
        </is>
      </c>
      <c r="C37" s="82" t="inlineStr">
        <is>
          <t>nus</t>
        </is>
      </c>
      <c r="D37" s="82" t="inlineStr">
        <is>
          <t>---</t>
        </is>
      </c>
      <c r="E37" s="82" t="inlineStr">
        <is>
          <t>---</t>
        </is>
      </c>
      <c r="F37" s="82" t="inlineStr">
        <is>
          <t>---</t>
        </is>
      </c>
      <c r="G37" s="82" t="inlineStr">
        <is>
          <t>Yes</t>
        </is>
      </c>
      <c r="H37" s="82" t="inlineStr">
        <is>
          <t>---</t>
        </is>
      </c>
      <c r="I37" s="96" t="inlineStr">
        <is>
          <t>Sparse</t>
        </is>
      </c>
      <c r="J37" s="83" t="inlineStr">
        <is>
          <t>Nilotic language of South Sudan; NLLB-200 only</t>
        </is>
      </c>
    </row>
    <row r="38" ht="31.5" customHeight="1" s="57">
      <c r="B38" s="93" t="inlineStr">
        <is>
          <t>Sango</t>
        </is>
      </c>
      <c r="C38" s="82" t="inlineStr">
        <is>
          <t>sag</t>
        </is>
      </c>
      <c r="D38" s="82" t="inlineStr">
        <is>
          <t>---</t>
        </is>
      </c>
      <c r="E38" s="82" t="inlineStr">
        <is>
          <t>---</t>
        </is>
      </c>
      <c r="F38" s="82" t="inlineStr">
        <is>
          <t>---</t>
        </is>
      </c>
      <c r="G38" s="82" t="inlineStr">
        <is>
          <t>Yes</t>
        </is>
      </c>
      <c r="H38" s="82" t="inlineStr">
        <is>
          <t>---</t>
        </is>
      </c>
      <c r="I38" s="96" t="inlineStr">
        <is>
          <t>Sparse</t>
        </is>
      </c>
      <c r="J38" s="83" t="inlineStr">
        <is>
          <t>Creole lingua franca of Central African Republic; NLLB-200 only</t>
        </is>
      </c>
    </row>
    <row r="39" ht="31.5" customHeight="1" s="57">
      <c r="B39" s="93" t="inlineStr">
        <is>
          <t>Kalenjin</t>
        </is>
      </c>
      <c r="C39" s="82" t="inlineStr">
        <is>
          <t>kln</t>
        </is>
      </c>
      <c r="D39" s="82" t="inlineStr">
        <is>
          <t>---</t>
        </is>
      </c>
      <c r="E39" s="82" t="inlineStr">
        <is>
          <t>---</t>
        </is>
      </c>
      <c r="F39" s="82" t="inlineStr">
        <is>
          <t>---</t>
        </is>
      </c>
      <c r="G39" s="82" t="inlineStr">
        <is>
          <t>---</t>
        </is>
      </c>
      <c r="H39" s="82" t="inlineStr">
        <is>
          <t>Yes</t>
        </is>
      </c>
      <c r="I39" s="96" t="inlineStr">
        <is>
          <t>Sparse</t>
        </is>
      </c>
      <c r="J39" s="83" t="inlineStr">
        <is>
          <t>Nilotic language of Kenya; added to Common Voice in v18; also AfriVoices-KE</t>
        </is>
      </c>
    </row>
    <row r="40" ht="31.5" customHeight="1" s="57">
      <c r="B40" s="93" t="inlineStr">
        <is>
          <t>Kidaw'ida</t>
        </is>
      </c>
      <c r="C40" s="82" t="inlineStr">
        <is>
          <t>dav</t>
        </is>
      </c>
      <c r="D40" s="82" t="inlineStr">
        <is>
          <t>---</t>
        </is>
      </c>
      <c r="E40" s="82" t="inlineStr">
        <is>
          <t>---</t>
        </is>
      </c>
      <c r="F40" s="82" t="inlineStr">
        <is>
          <t>---</t>
        </is>
      </c>
      <c r="G40" s="82" t="inlineStr">
        <is>
          <t>---</t>
        </is>
      </c>
      <c r="H40" s="82" t="inlineStr">
        <is>
          <t>Yes</t>
        </is>
      </c>
      <c r="I40" s="96" t="inlineStr">
        <is>
          <t>Sparse</t>
        </is>
      </c>
      <c r="J40" s="83" t="inlineStr">
        <is>
          <t>Bantu language of Kenya; added to Common Voice in v18</t>
        </is>
      </c>
    </row>
    <row r="41" s="57">
      <c r="B41" s="93" t="n"/>
      <c r="C41" s="82" t="n"/>
      <c r="D41" s="82" t="n"/>
      <c r="E41" s="82" t="n"/>
      <c r="F41" s="82" t="n"/>
      <c r="G41" s="82" t="n"/>
      <c r="H41" s="82" t="n"/>
      <c r="I41" s="96" t="n"/>
      <c r="J41" s="83" t="n"/>
    </row>
    <row r="42" ht="31.5" customHeight="1" s="57">
      <c r="B42" s="99" t="inlineStr">
        <is>
          <t>Fulfulde/Pulaar</t>
        </is>
      </c>
      <c r="C42" s="56" t="inlineStr">
        <is>
          <t>fuc/fuf</t>
        </is>
      </c>
      <c r="D42" s="56" t="inlineStr">
        <is>
          <t>---</t>
        </is>
      </c>
      <c r="E42" s="56" t="inlineStr">
        <is>
          <t>---</t>
        </is>
      </c>
      <c r="F42" s="56" t="inlineStr">
        <is>
          <t>---</t>
        </is>
      </c>
      <c r="G42" s="56" t="inlineStr">
        <is>
          <t>---</t>
        </is>
      </c>
      <c r="H42" s="56" t="inlineStr">
        <is>
          <t>---</t>
        </is>
      </c>
      <c r="I42" s="56" t="inlineStr">
        <is>
          <t>Missing</t>
        </is>
      </c>
      <c r="J42" s="56" t="inlineStr">
        <is>
          <t>Widespread across Sahel; NLLB-200 covers only Nigerian Fulfulde (fuv), not Pulaar/Pular</t>
        </is>
      </c>
    </row>
    <row r="43" ht="31.5" customHeight="1" s="57">
      <c r="B43" s="99" t="inlineStr">
        <is>
          <t>Taa</t>
        </is>
      </c>
      <c r="C43" s="56" t="inlineStr">
        <is>
          <t>nmn</t>
        </is>
      </c>
      <c r="D43" s="56" t="inlineStr">
        <is>
          <t>---</t>
        </is>
      </c>
      <c r="E43" s="56" t="inlineStr">
        <is>
          <t>---</t>
        </is>
      </c>
      <c r="F43" s="56" t="inlineStr">
        <is>
          <t>---</t>
        </is>
      </c>
      <c r="G43" s="56" t="inlineStr">
        <is>
          <t>---</t>
        </is>
      </c>
      <c r="H43" s="56" t="inlineStr">
        <is>
          <t>---</t>
        </is>
      </c>
      <c r="I43" s="56" t="inlineStr">
        <is>
          <t>Missing</t>
        </is>
      </c>
      <c r="J43" s="56" t="inlineStr">
        <is>
          <t>Endangered Tuu (Khoisan) language of Botswana/Namibia</t>
        </is>
      </c>
    </row>
    <row r="44" s="57">
      <c r="B44" s="93" t="n"/>
      <c r="C44" s="82" t="n"/>
      <c r="D44" s="82" t="n"/>
      <c r="E44" s="82" t="n"/>
      <c r="F44" s="82" t="n"/>
      <c r="G44" s="82" t="n"/>
      <c r="H44" s="82" t="n"/>
      <c r="I44" s="96" t="n"/>
      <c r="J44" s="83" t="n"/>
    </row>
    <row r="45"/>
    <row r="46">
      <c r="B46" s="56" t="inlineStr">
        <is>
          <t>COVERAGE SUMMARY STATISTICS</t>
        </is>
      </c>
    </row>
    <row r="47">
      <c r="B47" s="56" t="inlineStr">
        <is>
          <t>Metric</t>
        </is>
      </c>
      <c r="C47" s="56" t="inlineStr">
        <is>
          <t>Value</t>
        </is>
      </c>
    </row>
    <row r="48">
      <c r="B48" s="56" t="inlineStr">
        <is>
          <t>Languages with Repeated coverage (4+ corpora)</t>
        </is>
      </c>
      <c r="C48" s="56" t="inlineStr">
        <is>
          <t>12 of ~2,000</t>
        </is>
      </c>
      <c r="E48" s="56" t="inlineStr">
        <is>
          <t>~0.6% of estimated African languages</t>
        </is>
      </c>
    </row>
    <row r="49">
      <c r="B49" s="56" t="inlineStr">
        <is>
          <t>Languages with Sparse coverage (1-3 corpora)</t>
        </is>
      </c>
      <c r="C49" s="56" t="inlineStr">
        <is>
          <t>22 of ~2,000</t>
        </is>
      </c>
      <c r="E49" s="56" t="inlineStr">
        <is>
          <t>~1.1% with minimal representation; 7 appear in only one corpus</t>
        </is>
      </c>
    </row>
    <row r="50">
      <c r="B50" s="56" t="inlineStr">
        <is>
          <t>Languages with Missing coverage (0 corpora)</t>
        </is>
      </c>
      <c r="C50" s="56" t="inlineStr">
        <is>
          <t>2 of ~2,000</t>
        </is>
      </c>
      <c r="E50" s="56" t="inlineStr">
        <is>
          <t>2 of 36 sampled languages; most of Africa's ~2,000 languages are absent from all five corpora</t>
        </is>
      </c>
    </row>
    <row r="51">
      <c r="B51" s="56" t="inlineStr">
        <is>
          <t>Total languages in expanded table</t>
        </is>
      </c>
      <c r="C51" s="56" t="inlineStr">
        <is>
          <t>36 languages</t>
        </is>
      </c>
      <c r="E51" s="56" t="inlineStr">
        <is>
          <t>Expanded from 16 in original manuscript Table 3</t>
        </is>
      </c>
    </row>
    <row r="52">
      <c r="B52" s="56" t="inlineStr">
        <is>
          <t>AfriSenti language coverage</t>
        </is>
      </c>
      <c r="C52" s="56" t="inlineStr">
        <is>
          <t>14 languages</t>
        </is>
      </c>
      <c r="E52" s="56" t="inlineStr">
        <is>
          <t>112,476 tweets in total; still &lt;1% of African languages</t>
        </is>
      </c>
    </row>
    <row r="53">
      <c r="B53" s="56" t="inlineStr">
        <is>
          <t>MasakhaNER 2.0 coverage</t>
        </is>
      </c>
      <c r="C53" s="56" t="inlineStr">
        <is>
          <t>20 languages</t>
        </is>
      </c>
      <c r="E53" s="56" t="inlineStr">
        <is>
          <t>Largest human-annotated NER dataset; 3,713,510 tokens</t>
        </is>
      </c>
    </row>
    <row r="54">
      <c r="B54" s="56" t="inlineStr">
        <is>
          <t>NLLB-200 African languages</t>
        </is>
      </c>
      <c r="C54" s="56" t="inlineStr">
        <is>
          <t>55 languages</t>
        </is>
      </c>
      <c r="E54" s="56" t="inlineStr">
        <is>
          <t>~2.75% of African linguistic diversity</t>
        </is>
      </c>
    </row>
    <row r="55">
      <c r="B55" s="56" t="inlineStr">
        <is>
          <t>Sahara benchmark coverage</t>
        </is>
      </c>
      <c r="C55" s="56" t="inlineStr">
        <is>
          <t>517 languages</t>
        </is>
      </c>
      <c r="E55" s="56" t="inlineStr">
        <is>
          <t>Widest coverage but still excludes ~75% of languages</t>
        </is>
      </c>
    </row>
    <row r="56">
      <c r="B56" s="56" t="inlineStr">
        <is>
          <t>AfroLM pretraining coverage</t>
        </is>
      </c>
      <c r="C56" s="56" t="inlineStr">
        <is>
          <t>23 languages</t>
        </is>
      </c>
      <c r="E56" s="56" t="inlineStr">
        <is>
          <t>Self-active learning multilingual model</t>
        </is>
      </c>
    </row>
    <row r="57">
      <c r="B57" s="56" t="inlineStr">
        <is>
          <t>Common Voice v18 (table subset)</t>
        </is>
      </c>
      <c r="C57" s="56" t="inlineStr">
        <is>
          <t>17 languages</t>
        </is>
      </c>
      <c r="E57" s="56" t="inlineStr">
        <is>
          <t>17 of 36 sampled languages are Common Voice v18 locales; 8 have &lt;1 h validated speech</t>
        </is>
      </c>
    </row>
    <row r="58">
      <c r="B58" s="56" t="inlineStr">
        <is>
          <t>Status = number of the five corpora (AfriSenti, MasakhaNER 2.0, AfroLM, NLLB-200, Common Voice v18) that include the language: Repeated 4-5, Sparse 1-3, Missing 0. Common Voice counts if the language is a v18 locale. AfriSenti = train+dev+test tweets; MasakhaNER 2.0 = tokens.</t>
        </is>
      </c>
    </row>
    <row r="59">
      <c r="B59" s="56" t="inlineStr">
        <is>
          <t>SOURCES</t>
        </is>
      </c>
    </row>
    <row r="60">
      <c r="B60" s="56" t="inlineStr">
        <is>
          <t>AfriSenti-Twitter: HausaNLP, 2023. https://huggingface.co/datasets/HausaNLP/AfriSenti-Twitter</t>
        </is>
      </c>
    </row>
    <row r="61">
      <c r="B61" s="56" t="inlineStr">
        <is>
          <t>MasakhaNER 2.0: Adelani et al., 2022. arXiv:2210.12391</t>
        </is>
      </c>
    </row>
    <row r="62">
      <c r="B62" s="56" t="inlineStr">
        <is>
          <t>AfroLM: Dossou et al., 2022. EMNLP Workshop.</t>
        </is>
      </c>
    </row>
    <row r="63">
      <c r="B63" s="56" t="inlineStr">
        <is>
          <t>NLLB-200: NLLB Team, 2022. arXiv:2207.04672 / Nature 630:841-846, 2024. Language list: FLORES-200.</t>
        </is>
      </c>
    </row>
    <row r="64">
      <c r="B64" s="56" t="inlineStr">
        <is>
          <t>Common Voice v18: Mozilla Foundation, 2024.</t>
        </is>
      </c>
    </row>
    <row r="65">
      <c r="B65" s="56" t="inlineStr">
        <is>
          <t>Sahara Benchmark: Sahara Benchmark team, 2025.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7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6" min="1" max="1"/>
    <col width="18" customWidth="1" style="56" min="2" max="2"/>
    <col width="25" customWidth="1" style="56" min="3" max="3"/>
    <col width="40" customWidth="1" style="56" min="4" max="4"/>
    <col width="15" customWidth="1" style="56" min="5" max="5"/>
    <col width="20" customWidth="1" style="56" min="6" max="6"/>
    <col width="40" customWidth="1" style="56" min="7" max="7"/>
  </cols>
  <sheetData>
    <row r="1"/>
    <row r="2" ht="31.5" customHeight="1" s="57">
      <c r="B2" s="74" t="inlineStr">
        <is>
          <t>CPST Field Assessment Template</t>
        </is>
      </c>
    </row>
    <row r="3" ht="21.75" customHeight="1" s="57">
      <c r="B3" s="75" t="inlineStr">
        <is>
          <t>Use this template to conduct new CPST assessments. Complete one template per language/initiative.</t>
        </is>
      </c>
    </row>
    <row r="4"/>
    <row r="5" ht="25.5" customHeight="1" s="57">
      <c r="B5" s="76" t="inlineStr">
        <is>
          <t>ASSESSMENT METADATA</t>
        </is>
      </c>
    </row>
    <row r="6" ht="25.5" customHeight="1" s="57">
      <c r="B6" s="100" t="inlineStr">
        <is>
          <t>Language Name:</t>
        </is>
      </c>
      <c r="C6" s="101" t="n"/>
      <c r="D6" s="67" t="n"/>
      <c r="E6" s="100" t="inlineStr">
        <is>
          <t>ISO 639-3 Code:</t>
        </is>
      </c>
      <c r="F6" s="101" t="n"/>
      <c r="G6" s="67" t="n"/>
    </row>
    <row r="7" ht="25.5" customHeight="1" s="57">
      <c r="B7" s="100" t="inlineStr">
        <is>
          <t>Country/Region:</t>
        </is>
      </c>
      <c r="C7" s="101" t="n"/>
      <c r="D7" s="67" t="n"/>
      <c r="E7" s="100" t="inlineStr">
        <is>
          <t>Assessment Date:</t>
        </is>
      </c>
      <c r="F7" s="101" t="n"/>
      <c r="G7" s="67" t="n"/>
    </row>
    <row r="8" ht="25.5" customHeight="1" s="57">
      <c r="B8" s="100" t="inlineStr">
        <is>
          <t>Assessor Name(s):</t>
        </is>
      </c>
      <c r="C8" s="101" t="n"/>
      <c r="D8" s="67" t="n"/>
      <c r="E8" s="100" t="inlineStr">
        <is>
          <t>Institution:</t>
        </is>
      </c>
      <c r="F8" s="101" t="n"/>
      <c r="G8" s="67" t="n"/>
    </row>
    <row r="9" ht="25.5" customHeight="1" s="57">
      <c r="B9" s="100" t="inlineStr">
        <is>
          <t>Initiative/Project Name:</t>
        </is>
      </c>
      <c r="C9" s="101" t="n"/>
      <c r="D9" s="67" t="n"/>
      <c r="E9" s="100" t="inlineStr">
        <is>
          <t>Project URL:</t>
        </is>
      </c>
      <c r="F9" s="101" t="n"/>
      <c r="G9" s="67" t="n"/>
    </row>
    <row r="10" ht="25.5" customHeight="1" s="57">
      <c r="B10" s="100" t="inlineStr">
        <is>
          <t>Number of Sources:</t>
        </is>
      </c>
      <c r="C10" s="101" t="n"/>
      <c r="D10" s="67" t="n"/>
      <c r="E10" s="100" t="inlineStr">
        <is>
          <t>Source Types:</t>
        </is>
      </c>
      <c r="F10" s="101" t="n"/>
      <c r="G10" s="67" t="n"/>
    </row>
    <row r="11"/>
    <row r="12" ht="27.75" customHeight="1" s="57">
      <c r="B12" s="102" t="inlineStr">
        <is>
          <t>RATING INSTRUCTIONS: Rate each sub-criterion from 1 (Not addressed) to 6 (Strong), or enter IE if evidence is insufficient. The sub-criteria median is a guide only; record the holistic dimension rating in the Overall CPST Summary (column C). Use the CPST Rating Rubric sheet for detailed criteria.</t>
        </is>
      </c>
    </row>
    <row r="13"/>
    <row r="14" ht="25.5" customHeight="1" s="57">
      <c r="B14" s="79" t="inlineStr">
        <is>
          <t>DIMENSION 1: CYBER (Digital Infrastructure)</t>
        </is>
      </c>
    </row>
    <row r="15" ht="27.75" customHeight="1" s="57">
      <c r="B15" s="80" t="inlineStr">
        <is>
          <t>Criterion</t>
        </is>
      </c>
      <c r="C15" s="80" t="inlineStr">
        <is>
          <t>Typical Impact (Heuristic Only)</t>
        </is>
      </c>
      <c r="D15" s="80" t="inlineStr">
        <is>
          <t>Evidence Found</t>
        </is>
      </c>
      <c r="E15" s="80" t="inlineStr">
        <is>
          <t>Rating (1-6)</t>
        </is>
      </c>
      <c r="F15" s="80" t="inlineStr">
        <is>
          <t>Score (unweighted)</t>
        </is>
      </c>
      <c r="G15" s="80" t="inlineStr">
        <is>
          <t>Notes / Source URLs</t>
        </is>
      </c>
    </row>
    <row r="16" ht="31.5" customHeight="1" s="57">
      <c r="B16" s="97" t="inlineStr">
        <is>
          <t>Digital Corpora</t>
        </is>
      </c>
      <c r="C16" s="78" t="inlineStr">
        <is>
          <t>25%</t>
        </is>
      </c>
      <c r="D16" s="78" t="n"/>
      <c r="E16" s="78" t="n"/>
      <c r="F16" s="103">
        <f>IF(E16="","",E16)</f>
        <v/>
      </c>
      <c r="G16" s="98" t="n"/>
    </row>
    <row r="17" ht="31.5" customHeight="1" s="57">
      <c r="B17" s="97" t="inlineStr">
        <is>
          <t>Language Models</t>
        </is>
      </c>
      <c r="C17" s="78" t="inlineStr">
        <is>
          <t>25%</t>
        </is>
      </c>
      <c r="D17" s="78" t="n"/>
      <c r="E17" s="78" t="n"/>
      <c r="F17" s="103">
        <f>IF(E17="","",E17)</f>
        <v/>
      </c>
      <c r="G17" s="98" t="n"/>
    </row>
    <row r="18" ht="31.5" customHeight="1" s="57">
      <c r="B18" s="97" t="inlineStr">
        <is>
          <t>Machine Translation</t>
        </is>
      </c>
      <c r="C18" s="78" t="inlineStr">
        <is>
          <t>15%</t>
        </is>
      </c>
      <c r="D18" s="78" t="n"/>
      <c r="E18" s="78" t="n"/>
      <c r="F18" s="103">
        <f>IF(E18="","",E18)</f>
        <v/>
      </c>
      <c r="G18" s="98" t="n"/>
    </row>
    <row r="19" ht="31.5" customHeight="1" s="57">
      <c r="B19" s="97" t="inlineStr">
        <is>
          <t>Speech Technology</t>
        </is>
      </c>
      <c r="C19" s="78" t="inlineStr">
        <is>
          <t>15%</t>
        </is>
      </c>
      <c r="D19" s="78" t="n"/>
      <c r="E19" s="78" t="n"/>
      <c r="F19" s="103">
        <f>IF(E19="","",E19)</f>
        <v/>
      </c>
      <c r="G19" s="98" t="n"/>
    </row>
    <row r="20" ht="31.5" customHeight="1" s="57">
      <c r="B20" s="97" t="inlineStr">
        <is>
          <t>Benchmarks</t>
        </is>
      </c>
      <c r="C20" s="78" t="inlineStr">
        <is>
          <t>10%</t>
        </is>
      </c>
      <c r="D20" s="78" t="n"/>
      <c r="E20" s="78" t="n"/>
      <c r="F20" s="103">
        <f>IF(E20="","",E20)</f>
        <v/>
      </c>
      <c r="G20" s="98" t="n"/>
    </row>
    <row r="21" ht="31.5" customHeight="1" s="57">
      <c r="B21" s="97" t="inlineStr">
        <is>
          <t>APIs &amp; Platforms</t>
        </is>
      </c>
      <c r="C21" s="78" t="inlineStr">
        <is>
          <t>10%</t>
        </is>
      </c>
      <c r="D21" s="78" t="n"/>
      <c r="E21" s="78" t="n"/>
      <c r="F21" s="103">
        <f>IF(E21="","",E21)</f>
        <v/>
      </c>
      <c r="G21" s="98" t="n"/>
    </row>
    <row r="22" ht="25.5" customHeight="1" s="57">
      <c r="B22" s="104" t="inlineStr">
        <is>
          <t>CYBER SUBTOTAL</t>
        </is>
      </c>
      <c r="C22" s="105" t="n"/>
      <c r="D22" s="106" t="inlineStr">
        <is>
          <t>Sub-criteria median (guide only):</t>
        </is>
      </c>
      <c r="E22" s="107">
        <f>IF(COUNT(E16:E21)=0,"",ROUND(MEDIAN(E16:E21),1))</f>
        <v/>
      </c>
      <c r="F22" s="108">
        <f>IF(COUNTA(E16:E21)=0,"",COUNT(E16:E21)&amp;" rated, "&amp;COUNTIF(E16:E21,"IE")&amp;" IE")</f>
        <v/>
      </c>
      <c r="G22" s="105" t="n"/>
    </row>
    <row r="23"/>
    <row r="24" ht="25.5" customHeight="1" s="57">
      <c r="B24" s="79" t="inlineStr">
        <is>
          <t>DIMENSION 2: PHYSICAL (Tangible Infrastructure)</t>
        </is>
      </c>
    </row>
    <row r="25" ht="27.75" customHeight="1" s="57">
      <c r="B25" s="80" t="inlineStr">
        <is>
          <t>Criterion</t>
        </is>
      </c>
      <c r="C25" s="80" t="inlineStr">
        <is>
          <t>Typical Impact (Heuristic Only)</t>
        </is>
      </c>
      <c r="D25" s="80" t="inlineStr">
        <is>
          <t>Evidence Found</t>
        </is>
      </c>
      <c r="E25" s="80" t="inlineStr">
        <is>
          <t>Rating (1-6)</t>
        </is>
      </c>
      <c r="F25" s="80" t="inlineStr">
        <is>
          <t>Score (unweighted)</t>
        </is>
      </c>
      <c r="G25" s="80" t="inlineStr">
        <is>
          <t>Notes / Source URLs</t>
        </is>
      </c>
    </row>
    <row r="26" ht="31.5" customHeight="1" s="57">
      <c r="B26" s="97" t="inlineStr">
        <is>
          <t>Offline Deployment</t>
        </is>
      </c>
      <c r="C26" s="78" t="inlineStr">
        <is>
          <t>25%</t>
        </is>
      </c>
      <c r="D26" s="78" t="n"/>
      <c r="E26" s="78" t="n"/>
      <c r="F26" s="103">
        <f>IF(E26="","",E26)</f>
        <v/>
      </c>
      <c r="G26" s="98" t="n"/>
    </row>
    <row r="27" ht="31.5" customHeight="1" s="57">
      <c r="B27" s="97" t="inlineStr">
        <is>
          <t>Print Materials</t>
        </is>
      </c>
      <c r="C27" s="78" t="inlineStr">
        <is>
          <t>20%</t>
        </is>
      </c>
      <c r="D27" s="78" t="n"/>
      <c r="E27" s="78" t="n"/>
      <c r="F27" s="103">
        <f>IF(E27="","",E27)</f>
        <v/>
      </c>
      <c r="G27" s="98" t="n"/>
    </row>
    <row r="28" ht="31.5" customHeight="1" s="57">
      <c r="B28" s="97" t="inlineStr">
        <is>
          <t>Community Radio</t>
        </is>
      </c>
      <c r="C28" s="78" t="inlineStr">
        <is>
          <t>20%</t>
        </is>
      </c>
      <c r="D28" s="78" t="n"/>
      <c r="E28" s="78" t="n"/>
      <c r="F28" s="103">
        <f>IF(E28="","",E28)</f>
        <v/>
      </c>
      <c r="G28" s="98" t="n"/>
    </row>
    <row r="29" ht="31.5" customHeight="1" s="57">
      <c r="B29" s="97" t="inlineStr">
        <is>
          <t>Writing Systems</t>
        </is>
      </c>
      <c r="C29" s="78" t="inlineStr">
        <is>
          <t>15%</t>
        </is>
      </c>
      <c r="D29" s="78" t="n"/>
      <c r="E29" s="78" t="n"/>
      <c r="F29" s="103">
        <f>IF(E29="","",E29)</f>
        <v/>
      </c>
      <c r="G29" s="98" t="n"/>
    </row>
    <row r="30" ht="31.5" customHeight="1" s="57">
      <c r="B30" s="97" t="inlineStr">
        <is>
          <t>Public Signage</t>
        </is>
      </c>
      <c r="C30" s="78" t="inlineStr">
        <is>
          <t>10%</t>
        </is>
      </c>
      <c r="D30" s="78" t="n"/>
      <c r="E30" s="78" t="n"/>
      <c r="F30" s="103">
        <f>IF(E30="","",E30)</f>
        <v/>
      </c>
      <c r="G30" s="98" t="n"/>
    </row>
    <row r="31" ht="31.5" customHeight="1" s="57">
      <c r="B31" s="97" t="inlineStr">
        <is>
          <t>Storage &amp; Archive</t>
        </is>
      </c>
      <c r="C31" s="78" t="inlineStr">
        <is>
          <t>10%</t>
        </is>
      </c>
      <c r="D31" s="78" t="n"/>
      <c r="E31" s="78" t="n"/>
      <c r="F31" s="103">
        <f>IF(E31="","",E31)</f>
        <v/>
      </c>
      <c r="G31" s="98" t="n"/>
    </row>
    <row r="32" ht="25.5" customHeight="1" s="57">
      <c r="B32" s="104" t="inlineStr">
        <is>
          <t>PHYSICAL SUBTOTAL</t>
        </is>
      </c>
      <c r="C32" s="105" t="n"/>
      <c r="D32" s="106" t="inlineStr">
        <is>
          <t>Sub-criteria median (guide only):</t>
        </is>
      </c>
      <c r="E32" s="107">
        <f>IF(COUNT(E26:E31)=0,"",ROUND(MEDIAN(E26:E31),1))</f>
        <v/>
      </c>
      <c r="F32" s="108">
        <f>IF(COUNTA(E26:E31)=0,"",COUNT(E26:E31)&amp;" rated, "&amp;COUNTIF(E26:E31,"IE")&amp;" IE")</f>
        <v/>
      </c>
      <c r="G32" s="105" t="n"/>
    </row>
    <row r="33"/>
    <row r="34" ht="25.5" customHeight="1" s="57">
      <c r="B34" s="79" t="inlineStr">
        <is>
          <t>DIMENSION 3: SOCIAL (Institutions &amp; Community)</t>
        </is>
      </c>
    </row>
    <row r="35" ht="27.75" customHeight="1" s="57">
      <c r="B35" s="80" t="inlineStr">
        <is>
          <t>Criterion</t>
        </is>
      </c>
      <c r="C35" s="80" t="inlineStr">
        <is>
          <t>Typical Impact (Heuristic Only)</t>
        </is>
      </c>
      <c r="D35" s="80" t="inlineStr">
        <is>
          <t>Evidence Found</t>
        </is>
      </c>
      <c r="E35" s="80" t="inlineStr">
        <is>
          <t>Rating (1-6)</t>
        </is>
      </c>
      <c r="F35" s="80" t="inlineStr">
        <is>
          <t>Score (unweighted)</t>
        </is>
      </c>
      <c r="G35" s="80" t="inlineStr">
        <is>
          <t>Notes / Source URLs</t>
        </is>
      </c>
    </row>
    <row r="36" ht="31.5" customHeight="1" s="57">
      <c r="B36" s="97" t="inlineStr">
        <is>
          <t>Institutional Partnerships</t>
        </is>
      </c>
      <c r="C36" s="78" t="inlineStr">
        <is>
          <t>25%</t>
        </is>
      </c>
      <c r="D36" s="78" t="n"/>
      <c r="E36" s="78" t="n"/>
      <c r="F36" s="103">
        <f>IF(E36="","",E36)</f>
        <v/>
      </c>
      <c r="G36" s="98" t="n"/>
    </row>
    <row r="37" ht="31.5" customHeight="1" s="57">
      <c r="B37" s="97" t="inlineStr">
        <is>
          <t>Community Engagement</t>
        </is>
      </c>
      <c r="C37" s="78" t="inlineStr">
        <is>
          <t>25%</t>
        </is>
      </c>
      <c r="D37" s="78" t="n"/>
      <c r="E37" s="78" t="n"/>
      <c r="F37" s="103">
        <f>IF(E37="","",E37)</f>
        <v/>
      </c>
      <c r="G37" s="98" t="n"/>
    </row>
    <row r="38" ht="31.5" customHeight="1" s="57">
      <c r="B38" s="97" t="inlineStr">
        <is>
          <t>Capacity Building</t>
        </is>
      </c>
      <c r="C38" s="78" t="inlineStr">
        <is>
          <t>20%</t>
        </is>
      </c>
      <c r="D38" s="78" t="n"/>
      <c r="E38" s="78" t="n"/>
      <c r="F38" s="103">
        <f>IF(E38="","",E38)</f>
        <v/>
      </c>
      <c r="G38" s="98" t="n"/>
    </row>
    <row r="39" ht="31.5" customHeight="1" s="57">
      <c r="B39" s="97" t="inlineStr">
        <is>
          <t>Policy Integration</t>
        </is>
      </c>
      <c r="C39" s="78" t="inlineStr">
        <is>
          <t>15%</t>
        </is>
      </c>
      <c r="D39" s="78" t="n"/>
      <c r="E39" s="78" t="n"/>
      <c r="F39" s="103">
        <f>IF(E39="","",E39)</f>
        <v/>
      </c>
      <c r="G39" s="98" t="n"/>
    </row>
    <row r="40" ht="31.5" customHeight="1" s="57">
      <c r="B40" s="97" t="inlineStr">
        <is>
          <t>Cross-Lingual Platforms</t>
        </is>
      </c>
      <c r="C40" s="78" t="inlineStr">
        <is>
          <t>10%</t>
        </is>
      </c>
      <c r="D40" s="78" t="n"/>
      <c r="E40" s="78" t="n"/>
      <c r="F40" s="103">
        <f>IF(E40="","",E40)</f>
        <v/>
      </c>
      <c r="G40" s="98" t="n"/>
    </row>
    <row r="41" ht="31.5" customHeight="1" s="57">
      <c r="B41" s="97" t="inlineStr">
        <is>
          <t>Sustainability</t>
        </is>
      </c>
      <c r="C41" s="78" t="inlineStr">
        <is>
          <t>5%</t>
        </is>
      </c>
      <c r="D41" s="78" t="n"/>
      <c r="E41" s="78" t="n"/>
      <c r="F41" s="103">
        <f>IF(E41="","",E41)</f>
        <v/>
      </c>
      <c r="G41" s="98" t="n"/>
    </row>
    <row r="42" ht="25.5" customHeight="1" s="57">
      <c r="B42" s="104" t="inlineStr">
        <is>
          <t>SOCIAL SUBTOTAL</t>
        </is>
      </c>
      <c r="C42" s="105" t="n"/>
      <c r="D42" s="106" t="inlineStr">
        <is>
          <t>Sub-criteria median (guide only):</t>
        </is>
      </c>
      <c r="E42" s="107">
        <f>IF(COUNT(E36:E41)=0,"",ROUND(MEDIAN(E36:E41),1))</f>
        <v/>
      </c>
      <c r="F42" s="108">
        <f>IF(COUNTA(E36:E41)=0,"",COUNT(E36:E41)&amp;" rated, "&amp;COUNTIF(E36:E41,"IE")&amp;" IE")</f>
        <v/>
      </c>
      <c r="G42" s="105" t="n"/>
    </row>
    <row r="43"/>
    <row r="44" ht="25.5" customHeight="1" s="57">
      <c r="B44" s="79" t="inlineStr">
        <is>
          <t>DIMENSION 4: THINKING (Cognition &amp; Identity)</t>
        </is>
      </c>
    </row>
    <row r="45" ht="27.75" customHeight="1" s="57">
      <c r="B45" s="80" t="inlineStr">
        <is>
          <t>Criterion</t>
        </is>
      </c>
      <c r="C45" s="80" t="inlineStr">
        <is>
          <t>Typical Impact (Heuristic Only)</t>
        </is>
      </c>
      <c r="D45" s="80" t="inlineStr">
        <is>
          <t>Evidence Found</t>
        </is>
      </c>
      <c r="E45" s="80" t="inlineStr">
        <is>
          <t>Rating (1-6)</t>
        </is>
      </c>
      <c r="F45" s="80" t="inlineStr">
        <is>
          <t>Score (unweighted)</t>
        </is>
      </c>
      <c r="G45" s="80" t="inlineStr">
        <is>
          <t>Notes / Source URLs</t>
        </is>
      </c>
    </row>
    <row r="46" ht="31.5" customHeight="1" s="57">
      <c r="B46" s="97" t="inlineStr">
        <is>
          <t>Linguistic Identity</t>
        </is>
      </c>
      <c r="C46" s="78" t="inlineStr">
        <is>
          <t>25%</t>
        </is>
      </c>
      <c r="D46" s="78" t="n"/>
      <c r="E46" s="78" t="n"/>
      <c r="F46" s="103">
        <f>IF(E46="","",E46)</f>
        <v/>
      </c>
      <c r="G46" s="98" t="n"/>
    </row>
    <row r="47" ht="31.5" customHeight="1" s="57">
      <c r="B47" s="97" t="inlineStr">
        <is>
          <t>Participatory Design</t>
        </is>
      </c>
      <c r="C47" s="78" t="inlineStr">
        <is>
          <t>25%</t>
        </is>
      </c>
      <c r="D47" s="78" t="n"/>
      <c r="E47" s="78" t="n"/>
      <c r="F47" s="103">
        <f>IF(E47="","",E47)</f>
        <v/>
      </c>
      <c r="G47" s="98" t="n"/>
    </row>
    <row r="48" ht="31.5" customHeight="1" s="57">
      <c r="B48" s="97" t="inlineStr">
        <is>
          <t>Technology Trust</t>
        </is>
      </c>
      <c r="C48" s="78" t="inlineStr">
        <is>
          <t>20%</t>
        </is>
      </c>
      <c r="D48" s="78" t="n"/>
      <c r="E48" s="78" t="n"/>
      <c r="F48" s="103">
        <f>IF(E48="","",E48)</f>
        <v/>
      </c>
      <c r="G48" s="98" t="n"/>
    </row>
    <row r="49" ht="31.5" customHeight="1" s="57">
      <c r="B49" s="97" t="inlineStr">
        <is>
          <t>Prestige &amp; Status</t>
        </is>
      </c>
      <c r="C49" s="78" t="inlineStr">
        <is>
          <t>15%</t>
        </is>
      </c>
      <c r="D49" s="78" t="n"/>
      <c r="E49" s="78" t="n"/>
      <c r="F49" s="103">
        <f>IF(E49="","",E49)</f>
        <v/>
      </c>
      <c r="G49" s="98" t="n"/>
    </row>
    <row r="50" ht="31.5" customHeight="1" s="57">
      <c r="B50" s="97" t="inlineStr">
        <is>
          <t>Epistemic Justice</t>
        </is>
      </c>
      <c r="C50" s="78" t="inlineStr">
        <is>
          <t>10%</t>
        </is>
      </c>
      <c r="D50" s="78" t="n"/>
      <c r="E50" s="78" t="n"/>
      <c r="F50" s="103">
        <f>IF(E50="","",E50)</f>
        <v/>
      </c>
      <c r="G50" s="98" t="n"/>
    </row>
    <row r="51" ht="31.5" customHeight="1" s="57">
      <c r="B51" s="97" t="inlineStr">
        <is>
          <t>Cognitive Load</t>
        </is>
      </c>
      <c r="C51" s="78" t="inlineStr">
        <is>
          <t>5%</t>
        </is>
      </c>
      <c r="D51" s="78" t="n"/>
      <c r="E51" s="78" t="n"/>
      <c r="F51" s="103">
        <f>IF(E51="","",E51)</f>
        <v/>
      </c>
      <c r="G51" s="98" t="n"/>
    </row>
    <row r="52" ht="25.5" customHeight="1" s="57">
      <c r="B52" s="104" t="inlineStr">
        <is>
          <t>THINKING SUBTOTAL</t>
        </is>
      </c>
      <c r="C52" s="105" t="n"/>
      <c r="D52" s="106" t="inlineStr">
        <is>
          <t>Sub-criteria median (guide only):</t>
        </is>
      </c>
      <c r="E52" s="107">
        <f>IF(COUNT(E46:E51)=0,"",ROUND(MEDIAN(E46:E51),1))</f>
        <v/>
      </c>
      <c r="F52" s="108">
        <f>IF(COUNTA(E46:E51)=0,"",COUNT(E46:E51)&amp;" rated, "&amp;COUNTIF(E46:E51,"IE")&amp;" IE")</f>
        <v/>
      </c>
      <c r="G52" s="105" t="n"/>
    </row>
    <row r="53"/>
    <row r="54" ht="25.5" customHeight="1" s="57">
      <c r="B54" s="76" t="inlineStr">
        <is>
          <t>OVERALL CPST SUMMARY</t>
        </is>
      </c>
    </row>
    <row r="55" ht="24" customHeight="1" s="57">
      <c r="B55" s="65" t="inlineStr">
        <is>
          <t>Dimension</t>
        </is>
      </c>
      <c r="C55" s="65" t="inlineStr">
        <is>
          <t>Dimension Rating (assessor, 1-6)</t>
        </is>
      </c>
      <c r="D55" s="65" t="inlineStr">
        <is>
          <t>Status</t>
        </is>
      </c>
      <c r="E55" s="65" t="inlineStr">
        <is>
          <t>Priority Actions</t>
        </is>
      </c>
      <c r="F55" s="66" t="n"/>
      <c r="G55" s="67" t="n"/>
    </row>
    <row r="56" ht="27.75" customHeight="1" s="57">
      <c r="B56" s="97" t="inlineStr">
        <is>
          <t>Cyber</t>
        </is>
      </c>
      <c r="C56" s="97" t="n"/>
      <c r="D56" s="109">
        <f>IF(C56="","",IF(C56&gt;=5,"On Track",IF(C56&gt;=3,"Needs Attention","Critical Gap")))</f>
        <v/>
      </c>
      <c r="E56" s="78" t="n"/>
      <c r="F56" s="66" t="n"/>
      <c r="G56" s="67" t="n"/>
    </row>
    <row r="57" ht="27.75" customHeight="1" s="57">
      <c r="B57" s="97" t="inlineStr">
        <is>
          <t>Physical</t>
        </is>
      </c>
      <c r="C57" s="97" t="n"/>
      <c r="D57" s="109">
        <f>IF(C57="","",IF(C57&gt;=5,"On Track",IF(C57&gt;=3,"Needs Attention","Critical Gap")))</f>
        <v/>
      </c>
      <c r="E57" s="78" t="n"/>
      <c r="F57" s="66" t="n"/>
      <c r="G57" s="67" t="n"/>
    </row>
    <row r="58" ht="27.75" customHeight="1" s="57">
      <c r="B58" s="97" t="inlineStr">
        <is>
          <t>Social</t>
        </is>
      </c>
      <c r="C58" s="97" t="n"/>
      <c r="D58" s="109">
        <f>IF(C58="","",IF(C58&gt;=5,"On Track",IF(C58&gt;=3,"Needs Attention","Critical Gap")))</f>
        <v/>
      </c>
      <c r="E58" s="78" t="n"/>
      <c r="F58" s="66" t="n"/>
      <c r="G58" s="67" t="n"/>
    </row>
    <row r="59" ht="27.75" customHeight="1" s="57">
      <c r="B59" s="97" t="inlineStr">
        <is>
          <t>Thinking</t>
        </is>
      </c>
      <c r="C59" s="97" t="n"/>
      <c r="D59" s="109">
        <f>IF(C59="","",IF(C59&gt;=5,"On Track",IF(C59&gt;=3,"Needs Attention","Critical Gap")))</f>
        <v/>
      </c>
      <c r="E59" s="78" t="n"/>
      <c r="F59" s="66" t="n"/>
      <c r="G59" s="67" t="n"/>
    </row>
    <row r="60" ht="30" customHeight="1" s="57">
      <c r="B60" s="110" t="inlineStr">
        <is>
          <t>OVERALL CPST PROFILE (MEDIAN)</t>
        </is>
      </c>
      <c r="C60" s="111">
        <f>IF(COUNT(C56:C59)&lt;4,"",ROUND(MEDIAN(C56:C59),1))</f>
        <v/>
      </c>
      <c r="D60" s="112">
        <f>IF(C60="","",IF(C60&gt;=5,"STRONG",IF(C60&gt;=3.5,"MODERATE",IF(C60&gt;=2,"WEAK","CRITICAL"))))</f>
        <v/>
      </c>
      <c r="E60" s="113">
        <f>IF(COUNT(C56:C59)&lt;4,"","Range "&amp;TEXT(MAX(C56:C59)-MIN(C56:C59),"0.0")&amp;" | Weakest: "&amp;INDEX(B56:B59,MATCH(MIN(C56:C59),C56:C59,0)))</f>
        <v/>
      </c>
      <c r="F60" s="136" t="n"/>
      <c r="G60" s="137" t="n"/>
    </row>
    <row r="61"/>
    <row r="62" ht="25.5" customHeight="1" s="57">
      <c r="B62" s="76" t="inlineStr">
        <is>
          <t>DIAGNOSTIC RECOMMENDATIONS</t>
        </is>
      </c>
    </row>
    <row r="63" ht="24" customHeight="1" s="57">
      <c r="B63" s="65" t="inlineStr">
        <is>
          <t>Priority</t>
        </is>
      </c>
      <c r="C63" s="65" t="inlineStr">
        <is>
          <t>Dimension</t>
        </is>
      </c>
      <c r="D63" s="65" t="inlineStr">
        <is>
          <t>Recommended Intervention</t>
        </is>
      </c>
      <c r="E63" s="67" t="n"/>
      <c r="F63" s="56" t="n"/>
    </row>
    <row r="64" ht="34.5" customHeight="1" s="57">
      <c r="B64" s="82" t="inlineStr">
        <is>
          <t>1</t>
        </is>
      </c>
      <c r="C64" s="82" t="n"/>
      <c r="D64" s="82" t="n"/>
      <c r="E64" s="67" t="n"/>
      <c r="F64" s="83" t="n"/>
      <c r="G64" s="67" t="n"/>
    </row>
    <row r="65" ht="34.5" customHeight="1" s="57">
      <c r="B65" s="82" t="inlineStr">
        <is>
          <t>2</t>
        </is>
      </c>
      <c r="C65" s="82" t="n"/>
      <c r="D65" s="82" t="n"/>
      <c r="E65" s="67" t="n"/>
      <c r="F65" s="83" t="n"/>
      <c r="G65" s="67" t="n"/>
    </row>
    <row r="66" ht="34.5" customHeight="1" s="57">
      <c r="B66" s="82" t="inlineStr">
        <is>
          <t>3</t>
        </is>
      </c>
      <c r="C66" s="82" t="n"/>
      <c r="D66" s="82" t="n"/>
      <c r="E66" s="67" t="n"/>
      <c r="F66" s="83" t="n"/>
      <c r="G66" s="67" t="n"/>
    </row>
    <row r="67" ht="34.5" customHeight="1" s="57">
      <c r="B67" s="82" t="inlineStr">
        <is>
          <t>4</t>
        </is>
      </c>
      <c r="C67" s="82" t="n"/>
      <c r="D67" s="82" t="n"/>
      <c r="E67" s="67" t="n"/>
      <c r="F67" s="83" t="n"/>
      <c r="G67" s="67" t="n"/>
    </row>
    <row r="68"/>
    <row r="69" ht="25.5" customHeight="1" s="57">
      <c r="B69" s="76" t="inlineStr">
        <is>
          <t>ASSESSOR SIGN-OFF</t>
        </is>
      </c>
    </row>
    <row r="70" ht="25.5" customHeight="1" s="57">
      <c r="B70" s="100" t="inlineStr">
        <is>
          <t>Assessor 1 Signature:</t>
        </is>
      </c>
      <c r="C70" s="101" t="n"/>
      <c r="D70" s="67" t="n"/>
      <c r="E70" s="100" t="inlineStr">
        <is>
          <t>Date:</t>
        </is>
      </c>
      <c r="F70" s="101" t="n"/>
      <c r="G70" s="100" t="inlineStr">
        <is>
          <t>Confidence Level:</t>
        </is>
      </c>
    </row>
    <row r="71" ht="25.5" customHeight="1" s="57">
      <c r="B71" s="100" t="inlineStr">
        <is>
          <t>Assessor 2 Signature:</t>
        </is>
      </c>
      <c r="C71" s="101" t="n"/>
      <c r="D71" s="67" t="n"/>
      <c r="E71" s="100" t="inlineStr">
        <is>
          <t>Date:</t>
        </is>
      </c>
      <c r="F71" s="101" t="n"/>
      <c r="G71" s="100" t="inlineStr">
        <is>
          <t>Confidence Level:</t>
        </is>
      </c>
    </row>
    <row r="72" ht="25.5" customHeight="1" s="57">
      <c r="B72" s="100" t="inlineStr">
        <is>
          <t>Consensus Reached:</t>
        </is>
      </c>
      <c r="C72" s="101" t="n"/>
      <c r="D72" s="67" t="n"/>
      <c r="E72" s="100" t="inlineStr">
        <is>
          <t>Date:</t>
        </is>
      </c>
      <c r="F72" s="101" t="n"/>
      <c r="G72" s="100" t="inlineStr">
        <is>
          <t>Third Assessor (if needed):</t>
        </is>
      </c>
    </row>
  </sheetData>
  <mergeCells count="40">
    <mergeCell ref="B2:G2"/>
    <mergeCell ref="C6:D6"/>
    <mergeCell ref="F10:G10"/>
    <mergeCell ref="B14:G14"/>
    <mergeCell ref="D63:E63"/>
    <mergeCell ref="E60:G60"/>
    <mergeCell ref="F63:G63"/>
    <mergeCell ref="F65:G65"/>
    <mergeCell ref="F6:G6"/>
    <mergeCell ref="B44:G44"/>
    <mergeCell ref="D65:E65"/>
    <mergeCell ref="E59:G59"/>
    <mergeCell ref="B69:G69"/>
    <mergeCell ref="F7:G7"/>
    <mergeCell ref="B34:G34"/>
    <mergeCell ref="C10:D10"/>
    <mergeCell ref="E57:G57"/>
    <mergeCell ref="C9:D9"/>
    <mergeCell ref="D66:E66"/>
    <mergeCell ref="F66:G66"/>
    <mergeCell ref="F8:G8"/>
    <mergeCell ref="B24:G24"/>
    <mergeCell ref="B5:G5"/>
    <mergeCell ref="C71:D71"/>
    <mergeCell ref="E56:G56"/>
    <mergeCell ref="E58:G58"/>
    <mergeCell ref="C70:D70"/>
    <mergeCell ref="B62:G62"/>
    <mergeCell ref="F9:G9"/>
    <mergeCell ref="C8:D8"/>
    <mergeCell ref="F67:G67"/>
    <mergeCell ref="B3:G3"/>
    <mergeCell ref="B54:G54"/>
    <mergeCell ref="E55:G55"/>
    <mergeCell ref="C7:D7"/>
    <mergeCell ref="D64:E64"/>
    <mergeCell ref="C72:D72"/>
    <mergeCell ref="D67:E67"/>
    <mergeCell ref="B12:G12"/>
    <mergeCell ref="F64:G64"/>
  </mergeCells>
  <dataValidations count="2">
    <dataValidation sqref="E16:E21 E26:E31 E36:E41 E46:E51" showDropDown="0" showInputMessage="0" showErrorMessage="0" allowBlank="1" type="list">
      <formula1>"1,2,3,4,5,6,IE"</formula1>
    </dataValidation>
    <dataValidation sqref="C56:C59" showDropDown="0" showInputMessage="0" showErrorMessage="0" allowBlank="1" type="list">
      <formula1>"1,2,3,4,5,6"</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0" customWidth="1" style="57" min="1" max="1"/>
  </cols>
  <sheetData>
    <row r="1">
      <c r="A1" s="130" t="inlineStr">
        <is>
          <t>Source Flow Documentation (Not PRISMA)</t>
        </is>
      </c>
    </row>
    <row r="2">
      <c r="A2" s="56" t="inlineStr">
        <is>
          <t>Structured documentary review, not a formal PRISMA systematic review; the case set is purposively selected.</t>
        </is>
      </c>
    </row>
    <row r="3">
      <c r="A3" s="56" t="inlineStr">
        <is>
          <t>Searches conducted March-June 2026; date range 2017-2026. Counts for ACM, IEEE, Scopus and WoS verified from screenshots.</t>
        </is>
      </c>
    </row>
    <row r="4">
      <c r="A4" s="56" t="n"/>
    </row>
    <row r="5">
      <c r="A5" s="131" t="inlineStr">
        <is>
          <t>IDENTIFICATION</t>
        </is>
      </c>
    </row>
    <row r="6">
      <c r="A6" s="56" t="inlineStr">
        <is>
          <t>Records from 5 databases (6 case studies): 3,268</t>
        </is>
      </c>
    </row>
    <row r="7">
      <c r="A7" s="56" t="inlineStr">
        <is>
          <t xml:space="preserve">  ACM Digital Library: 621 (Ghana 99 | Nigeria 131 | Ethiopia 89 | SA 118 | Kenya 184 | Murle 0)</t>
        </is>
      </c>
    </row>
    <row r="8">
      <c r="A8" s="56" t="inlineStr">
        <is>
          <t xml:space="preserve">  IEEE Xplore: 296 (Ghana 6 | Nigeria 71 | Ethiopia 91 | SA 83 | Kenya 45 | Murle 0)</t>
        </is>
      </c>
    </row>
    <row r="9">
      <c r="A9" s="56" t="inlineStr">
        <is>
          <t xml:space="preserve">  Scopus: 1,277 (Ghana 101 | Nigeria 322 | Ethiopia 285 | SA 377 | Kenya 192 | Murle 0)</t>
        </is>
      </c>
    </row>
    <row r="10">
      <c r="A10" s="56" t="inlineStr">
        <is>
          <t xml:space="preserve">  Web of Science: 732 (Ghana 55 | Nigeria 177 | Ethiopia 157 | SA 234 | Kenya 109 | Murle 0*)</t>
        </is>
      </c>
    </row>
    <row r="11">
      <c r="A11" s="56" t="inlineStr">
        <is>
          <t xml:space="preserve">  ACL Anthology (bib-dump title search): 342 (Ghana 12 | Nigeria 106 | Ethiopia 95 | SA 48 | Kenya 81 | Murle 0)</t>
        </is>
      </c>
    </row>
    <row r="12">
      <c r="A12" s="56" t="inlineStr">
        <is>
          <t xml:space="preserve">  *WoS Murle query returned an invalid query error. Of the 342 ACL records, 160 passed an additional Africa/country relevance filter.</t>
        </is>
      </c>
    </row>
    <row r="13">
      <c r="A13" s="56" t="n"/>
    </row>
    <row r="14">
      <c r="A14" s="56" t="inlineStr">
        <is>
          <t>Records from other sources: ~464</t>
        </is>
      </c>
    </row>
    <row r="15">
      <c r="A15" s="56" t="inlineStr">
        <is>
          <t xml:space="preserve">  OpenAlex: ~200 | arXiv: ~150 | Zenodo: ~50</t>
        </is>
      </c>
    </row>
    <row r="16">
      <c r="A16" s="56" t="inlineStr">
        <is>
          <t xml:space="preserve">  Manual source identification: 18 (IEEE, ACM, Nature, Springer, SAGE)</t>
        </is>
      </c>
    </row>
    <row r="17">
      <c r="A17" s="56" t="inlineStr">
        <is>
          <t xml:space="preserve">  Grey literature / websites: 36</t>
        </is>
      </c>
    </row>
    <row r="18">
      <c r="A18" s="56" t="inlineStr">
        <is>
          <t xml:space="preserve">  Pre-2017 foundational works: 10</t>
        </is>
      </c>
    </row>
    <row r="19">
      <c r="A19" s="131" t="inlineStr">
        <is>
          <t>TOTAL IDENTIFIED: ~3,732</t>
        </is>
      </c>
    </row>
    <row r="20">
      <c r="A20" s="56" t="n"/>
    </row>
    <row r="21">
      <c r="A21" s="131" t="inlineStr">
        <is>
          <t>SCREENING (approximate counts)</t>
        </is>
      </c>
    </row>
    <row r="22">
      <c r="A22" s="56" t="inlineStr">
        <is>
          <t>After duplicates removed: ~2,100</t>
        </is>
      </c>
    </row>
    <row r="23">
      <c r="A23" s="56" t="inlineStr">
        <is>
          <t>After auto-check exclusions: ~1,700 (language/topic mismatch)</t>
        </is>
      </c>
    </row>
    <row r="24">
      <c r="A24" s="56" t="inlineStr">
        <is>
          <t>After relevance screening: 50 peer-reviewed sources identified</t>
        </is>
      </c>
    </row>
    <row r="25">
      <c r="A25" s="56" t="n"/>
    </row>
    <row r="26">
      <c r="A26" s="131" t="inlineStr">
        <is>
          <t>INCLUDED SOURCES (Final synthesis)</t>
        </is>
      </c>
    </row>
    <row r="27">
      <c r="A27" s="56" t="inlineStr">
        <is>
          <t>Peer-reviewed academic publications: 50</t>
        </is>
      </c>
    </row>
    <row r="28">
      <c r="A28" s="56" t="inlineStr">
        <is>
          <t xml:space="preserve">  From 5-database screening (incl. ACL Anthology): 32</t>
        </is>
      </c>
    </row>
    <row r="29">
      <c r="A29" s="56" t="inlineStr">
        <is>
          <t xml:space="preserve">  From other academic venues: 18</t>
        </is>
      </c>
    </row>
    <row r="30">
      <c r="A30" s="56" t="inlineStr">
        <is>
          <t>Grey literature / technical reports: 36</t>
        </is>
      </c>
    </row>
    <row r="31">
      <c r="A31" s="56" t="inlineStr">
        <is>
          <t>Pre-2017 foundational works: 10</t>
        </is>
      </c>
    </row>
    <row r="32">
      <c r="A32" s="131" t="inlineStr">
        <is>
          <t>TOTAL INCLUDED: 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2026-05-24T05:31:05Z</dcterms:created>
  <dcterms:modified xmlns:dcterms="http://purl.org/dc/terms/" xmlns:xsi="http://www.w3.org/2001/XMLSchema-instance" xsi:type="dcterms:W3CDTF">2026-10-23T02:56:11Z</dcterms:modified>
  <cp:revision>1</cp:revision>
</cp:coreProperties>
</file>