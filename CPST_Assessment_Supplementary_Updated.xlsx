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PST Rating Rubric" sheetId="2" state="visible" r:id="rId2"/>
    <sheet xmlns:r="http://schemas.openxmlformats.org/officeDocument/2006/relationships" name="Assessment Protocol" sheetId="3" state="visible" r:id="rId3"/>
    <sheet xmlns:r="http://schemas.openxmlformats.org/officeDocument/2006/relationships" name="Case Study Results" sheetId="4" state="visible" r:id="rId4"/>
    <sheet xmlns:r="http://schemas.openxmlformats.org/officeDocument/2006/relationships" name="Dataset Coverage" sheetId="5" state="visible" r:id="rId5"/>
    <sheet xmlns:r="http://schemas.openxmlformats.org/officeDocument/2006/relationships" name="Assessment Templat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333333"/>
      <sz val="20"/>
    </font>
    <font>
      <name val="Calibri"/>
      <charset val="1"/>
      <family val="0"/>
      <b val="1"/>
      <color rgb="FF0066CC"/>
      <sz val="14"/>
    </font>
    <font>
      <name val="Calibri"/>
      <charset val="1"/>
      <family val="0"/>
      <color rgb="FF666666"/>
      <sz val="11"/>
    </font>
    <font>
      <name val="Calibri"/>
      <charset val="1"/>
      <family val="0"/>
      <i val="1"/>
      <color rgb="FF666666"/>
      <sz val="10"/>
    </font>
    <font>
      <name val="Calibri"/>
      <charset val="1"/>
      <family val="0"/>
      <b val="1"/>
      <color rgb="FF0066CC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66CC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color rgb="FF444444"/>
      <sz val="10"/>
    </font>
    <font>
      <name val="Calibri"/>
      <charset val="1"/>
      <family val="0"/>
      <b val="1"/>
      <color rgb="FF0066CC"/>
      <sz val="12"/>
    </font>
    <font>
      <name val="Calibri"/>
      <charset val="1"/>
      <family val="0"/>
      <b val="1"/>
      <color rgb="FF333333"/>
      <sz val="16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66CC"/>
      <sz val="11"/>
    </font>
    <font>
      <name val="Calibri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006600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CC0000"/>
      <sz val="10"/>
    </font>
    <font>
      <name val="Calibri"/>
      <charset val="1"/>
      <family val="0"/>
      <color rgb="FFCC6600"/>
      <sz val="10"/>
    </font>
    <font>
      <name val="Calibri"/>
      <charset val="1"/>
      <family val="0"/>
      <color rgb="FF666666"/>
      <sz val="9"/>
    </font>
    <font>
      <name val="Calibri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333333"/>
        <bgColor rgb="FF444444"/>
      </patternFill>
    </fill>
    <fill>
      <patternFill patternType="solid">
        <fgColor rgb="FFE6F0FA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FFF8E1"/>
        <bgColor rgb="FFF9F9F9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0066CC"/>
      </left>
      <right style="medium">
        <color rgb="FF0066CC"/>
      </right>
      <top style="medium">
        <color rgb="FF0066CC"/>
      </top>
      <bottom style="medium">
        <color rgb="FF0066CC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center" wrapText="1"/>
    </xf>
    <xf numFmtId="0" fontId="14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4" fillId="4" borderId="0" applyAlignment="1" pivotButton="0" quotePrefix="0" xfId="0">
      <alignment horizontal="general" vertical="center"/>
    </xf>
    <xf numFmtId="0" fontId="16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7" fillId="5" borderId="0" applyAlignment="1" pivotButton="0" quotePrefix="0" xfId="0">
      <alignment horizontal="general" vertical="center"/>
    </xf>
    <xf numFmtId="0" fontId="9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top" wrapText="1"/>
    </xf>
    <xf numFmtId="0" fontId="22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24" fillId="0" borderId="1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0" fontId="12" fillId="6" borderId="0" applyAlignment="1" pivotButton="0" quotePrefix="0" xfId="0">
      <alignment horizontal="general" vertical="center" wrapText="1"/>
    </xf>
    <xf numFmtId="2" fontId="11" fillId="0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right" vertical="bottom"/>
    </xf>
    <xf numFmtId="0" fontId="10" fillId="4" borderId="1" applyAlignment="1" pivotButton="0" quotePrefix="0" xfId="0">
      <alignment horizontal="center" vertical="bottom"/>
    </xf>
    <xf numFmtId="2" fontId="1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center" wrapText="1"/>
    </xf>
    <xf numFmtId="0" fontId="17" fillId="4" borderId="2" applyAlignment="1" pivotButton="0" quotePrefix="0" xfId="0">
      <alignment horizontal="general" vertical="bottom"/>
    </xf>
    <xf numFmtId="0" fontId="14" fillId="4" borderId="2" applyAlignment="1" pivotButton="0" quotePrefix="0" xfId="0">
      <alignment horizontal="center" vertical="bottom"/>
    </xf>
    <xf numFmtId="0" fontId="27" fillId="4" borderId="2" applyAlignment="1" pivotButton="0" quotePrefix="0" xfId="0">
      <alignment horizontal="center" vertical="bottom"/>
    </xf>
    <xf numFmtId="0" fontId="0" fillId="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2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center" wrapText="1"/>
    </xf>
    <xf numFmtId="0" fontId="14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4" fillId="4" borderId="0" applyAlignment="1" pivotButton="0" quotePrefix="0" xfId="0">
      <alignment horizontal="general" vertical="center"/>
    </xf>
    <xf numFmtId="0" fontId="16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7" fillId="5" borderId="0" applyAlignment="1" pivotButton="0" quotePrefix="0" xfId="0">
      <alignment horizontal="general" vertical="center"/>
    </xf>
    <xf numFmtId="0" fontId="9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top" wrapText="1"/>
    </xf>
    <xf numFmtId="0" fontId="22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24" fillId="0" borderId="1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26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0" fontId="12" fillId="6" borderId="0" applyAlignment="1" pivotButton="0" quotePrefix="0" xfId="0">
      <alignment horizontal="general" vertical="center" wrapText="1"/>
    </xf>
    <xf numFmtId="2" fontId="11" fillId="0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right" vertical="bottom"/>
    </xf>
    <xf numFmtId="0" fontId="10" fillId="4" borderId="1" applyAlignment="1" pivotButton="0" quotePrefix="0" xfId="0">
      <alignment horizontal="center" vertical="bottom"/>
    </xf>
    <xf numFmtId="2" fontId="1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center" wrapText="1"/>
    </xf>
    <xf numFmtId="0" fontId="17" fillId="4" borderId="2" applyAlignment="1" pivotButton="0" quotePrefix="0" xfId="0">
      <alignment horizontal="general" vertical="bottom"/>
    </xf>
    <xf numFmtId="0" fontId="14" fillId="4" borderId="2" applyAlignment="1" pivotButton="0" quotePrefix="0" xfId="0">
      <alignment horizontal="center" vertical="bottom"/>
    </xf>
    <xf numFmtId="0" fontId="27" fillId="4" borderId="2" applyAlignment="1" pivotButton="0" quotePrefix="0" xfId="0">
      <alignment horizontal="center" vertical="bottom"/>
    </xf>
    <xf numFmtId="0" fontId="0" fillId="4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8E1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FFF99"/>
      <rgbColor rgb="FF99CCFF"/>
      <rgbColor rgb="FFFF99CC"/>
      <rgbColor rgb="FFCC99FF"/>
      <rgbColor rgb="FFD9D9D9"/>
      <rgbColor rgb="FF4A90D9"/>
      <rgbColor rgb="FF33CCCC"/>
      <rgbColor rgb="FF99CC00"/>
      <rgbColor rgb="FFFFCC00"/>
      <rgbColor rgb="FFFF9900"/>
      <rgbColor rgb="FFCC6600"/>
      <rgbColor rgb="FF666666"/>
      <rgbColor rgb="FF999999"/>
      <rgbColor rgb="FF003366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CPST Ratings by Country and Dimension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'Case Study Results'!C14</f>
              <strCache>
                <ptCount val="1"/>
                <pt idx="0">
                  <v>Ghana</v>
                </pt>
              </strCache>
            </strRef>
          </tx>
          <spPr>
            <a:solidFill xmlns:a="http://schemas.openxmlformats.org/drawingml/2006/main">
              <a:srgbClr val="333333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'Case Study Results'!$B$15:$B$18</f>
              <strCache>
                <ptCount val="4"/>
                <pt idx="0">
                  <v>Cyber</v>
                </pt>
                <pt idx="1">
                  <v>Physical</v>
                </pt>
                <pt idx="2">
                  <v>Social</v>
                </pt>
                <pt idx="3">
                  <v>Thinking</v>
                </pt>
              </strCache>
            </strRef>
          </cat>
          <val>
            <numRef>
              <f>'Case Study Results'!$C$15:$C$18</f>
              <numCache>
                <formatCode>General</formatCode>
                <ptCount val="4"/>
                <pt idx="0">
                  <v>6</v>
                </pt>
                <pt idx="1">
                  <v>2</v>
                </pt>
                <pt idx="2">
                  <v>2</v>
                </pt>
                <pt idx="3">
                  <v>1</v>
                </pt>
              </numCache>
            </numRef>
          </val>
        </ser>
        <ser>
          <idx val="1"/>
          <order val="1"/>
          <tx>
            <strRef>
              <f>'Case Study Results'!D14</f>
              <strCache>
                <ptCount val="1"/>
                <pt idx="0">
                  <v>Nigeria</v>
                </pt>
              </strCache>
            </strRef>
          </tx>
          <spPr>
            <a:solidFill xmlns:a="http://schemas.openxmlformats.org/drawingml/2006/main">
              <a:srgbClr val="0066cc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'Case Study Results'!$B$15:$B$18</f>
              <strCache>
                <ptCount val="4"/>
                <pt idx="0">
                  <v>Cyber</v>
                </pt>
                <pt idx="1">
                  <v>Physical</v>
                </pt>
                <pt idx="2">
                  <v>Social</v>
                </pt>
                <pt idx="3">
                  <v>Thinking</v>
                </pt>
              </strCache>
            </strRef>
          </cat>
          <val>
            <numRef>
              <f>'Case Study Results'!$D$15:$D$18</f>
              <numCache>
                <formatCode>General</formatCode>
                <ptCount val="4"/>
                <pt idx="0">
                  <v>6</v>
                </pt>
                <pt idx="1">
                  <v>3</v>
                </pt>
                <pt idx="2">
                  <v>6</v>
                </pt>
                <pt idx="3">
                  <v>6</v>
                </pt>
              </numCache>
            </numRef>
          </val>
        </ser>
        <ser>
          <idx val="2"/>
          <order val="2"/>
          <tx>
            <strRef>
              <f>'Case Study Results'!E14</f>
              <strCache>
                <ptCount val="1"/>
                <pt idx="0">
                  <v>Ethiopia</v>
                </pt>
              </strCache>
            </strRef>
          </tx>
          <spPr>
            <a:solidFill xmlns:a="http://schemas.openxmlformats.org/drawingml/2006/main">
              <a:srgbClr val="4a90d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'Case Study Results'!$B$15:$B$18</f>
              <strCache>
                <ptCount val="4"/>
                <pt idx="0">
                  <v>Cyber</v>
                </pt>
                <pt idx="1">
                  <v>Physical</v>
                </pt>
                <pt idx="2">
                  <v>Social</v>
                </pt>
                <pt idx="3">
                  <v>Thinking</v>
                </pt>
              </strCache>
            </strRef>
          </cat>
          <val>
            <numRef>
              <f>'Case Study Results'!$E$15:$E$18</f>
              <numCache>
                <formatCode>General</formatCode>
                <ptCount val="4"/>
                <pt idx="0">
                  <v>5</v>
                </pt>
                <pt idx="1">
                  <v>5</v>
                </pt>
                <pt idx="2">
                  <v>5</v>
                </pt>
                <pt idx="3">
                  <v>6</v>
                </pt>
              </numCache>
            </numRef>
          </val>
        </ser>
        <ser>
          <idx val="3"/>
          <order val="3"/>
          <tx>
            <strRef>
              <f>'Case Study Results'!F14</f>
              <strCache>
                <ptCount val="1"/>
                <pt idx="0">
                  <v>South Africa</v>
                </pt>
              </strCache>
            </strRef>
          </tx>
          <spPr>
            <a:solidFill xmlns:a="http://schemas.openxmlformats.org/drawingml/2006/main">
              <a:srgbClr val="99999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'Case Study Results'!$B$15:$B$18</f>
              <strCache>
                <ptCount val="4"/>
                <pt idx="0">
                  <v>Cyber</v>
                </pt>
                <pt idx="1">
                  <v>Physical</v>
                </pt>
                <pt idx="2">
                  <v>Social</v>
                </pt>
                <pt idx="3">
                  <v>Thinking</v>
                </pt>
              </strCache>
            </strRef>
          </cat>
          <val>
            <numRef>
              <f>'Case Study Results'!$F$15:$F$18</f>
              <numCache>
                <formatCode>General</formatCode>
                <ptCount val="4"/>
                <pt idx="0">
                  <v>6</v>
                </pt>
                <pt idx="1">
                  <v>2</v>
                </pt>
                <pt idx="2">
                  <v>5</v>
                </pt>
                <pt idx="3">
                  <v>5</v>
                </pt>
              </numCache>
            </numRef>
          </val>
        </ser>
        <ser>
          <idx val="4"/>
          <order val="4"/>
          <tx>
            <strRef>
              <f>'Case Study Results'!G14</f>
              <strCache>
                <ptCount val="1"/>
                <pt idx="0">
                  <v>Kenya</v>
                </pt>
              </strCache>
            </strRef>
          </tx>
          <spPr>
            <a:solidFill xmlns:a="http://schemas.openxmlformats.org/drawingml/2006/main">
              <a:srgbClr val="bbbbb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'Case Study Results'!$B$15:$B$18</f>
              <strCache>
                <ptCount val="4"/>
                <pt idx="0">
                  <v>Cyber</v>
                </pt>
                <pt idx="1">
                  <v>Physical</v>
                </pt>
                <pt idx="2">
                  <v>Social</v>
                </pt>
                <pt idx="3">
                  <v>Thinking</v>
                </pt>
              </strCache>
            </strRef>
          </cat>
          <val>
            <numRef>
              <f>'Case Study Results'!$G$15:$G$18</f>
              <numCache>
                <formatCode>General</formatCode>
                <ptCount val="4"/>
                <pt idx="0">
                  <v>5</v>
                </pt>
                <pt idx="1">
                  <v>2</v>
                </pt>
                <pt idx="2">
                  <v>4</v>
                </pt>
                <pt idx="3">
                  <v>2</v>
                </pt>
              </numCache>
            </numRef>
          </val>
        </ser>
        <gapWidth val="150"/>
        <overlap val="0"/>
        <axId val="2845666"/>
        <axId val="64321611"/>
      </barChart>
      <catAx>
        <axId val="284566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CPST Dimension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321611"/>
        <crosses val="autoZero"/>
        <auto val="1"/>
        <lblAlgn val="ctr"/>
        <lblOffset val="100"/>
        <noMultiLvlLbl val="0"/>
      </catAx>
      <valAx>
        <axId val="64321611"/>
        <scaling>
          <orientation val="minMax"/>
          <max val="7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Rating (1=Not addressed, 6=Strong)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456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19</row>
      <rowOff>0</rowOff>
    </from>
    <to>
      <col>9</col>
      <colOff>2308680</colOff>
      <row>41</row>
      <rowOff>120600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30" customWidth="1" style="56" min="2" max="3"/>
    <col width="25" customWidth="1" style="56" min="4" max="4"/>
    <col width="20" customWidth="1" style="56" min="5" max="7"/>
  </cols>
  <sheetData>
    <row r="1" ht="15" customHeight="1" s="57">
      <c r="A1" s="58" t="n"/>
      <c r="B1" s="58" t="n"/>
      <c r="C1" s="58" t="n"/>
      <c r="D1" s="58" t="n"/>
      <c r="E1" s="58" t="n"/>
      <c r="F1" s="58" t="n"/>
      <c r="G1" s="58" t="n"/>
    </row>
    <row r="2" ht="15" customHeight="1" s="57">
      <c r="A2" s="58" t="n"/>
      <c r="B2" s="58" t="n"/>
      <c r="C2" s="58" t="n"/>
      <c r="D2" s="58" t="n"/>
      <c r="E2" s="58" t="n"/>
      <c r="F2" s="58" t="n"/>
      <c r="G2" s="58" t="n"/>
    </row>
    <row r="3" ht="37.5" customHeight="1" s="57">
      <c r="A3" s="58" t="n"/>
      <c r="B3" s="59" t="inlineStr">
        <is>
          <t>Supplementary Material</t>
        </is>
      </c>
    </row>
    <row r="4" ht="15" customHeight="1" s="57">
      <c r="A4" s="58" t="n"/>
      <c r="B4" s="58" t="n"/>
      <c r="C4" s="58" t="n"/>
      <c r="D4" s="58" t="n"/>
      <c r="E4" s="58" t="n"/>
      <c r="F4" s="58" t="n"/>
      <c r="G4" s="58" t="n"/>
    </row>
    <row r="5" ht="30" customHeight="1" s="57">
      <c r="A5" s="58" t="n"/>
      <c r="B5" s="60" t="inlineStr">
        <is>
          <t>CPST Assessment Framework: Rating Rubric, Protocol, and Case Study Data</t>
        </is>
      </c>
    </row>
    <row r="6" ht="36" customHeight="1" s="57">
      <c r="A6" s="58" t="n"/>
      <c r="B6" s="61" t="inlineStr">
        <is>
          <t>Supporting: A Cyber-Physical-Social-Thinking (CPST) Framework for African Minor Language Preservation and Revitalization in the AGI Era</t>
        </is>
      </c>
    </row>
    <row r="7" ht="15" customHeight="1" s="57">
      <c r="A7" s="58" t="n"/>
      <c r="B7" s="58" t="n"/>
      <c r="C7" s="58" t="n"/>
      <c r="D7" s="58" t="n"/>
      <c r="E7" s="58" t="n"/>
      <c r="F7" s="58" t="n"/>
      <c r="G7" s="58" t="n"/>
    </row>
    <row r="8" ht="15" customHeight="1" s="57">
      <c r="A8" s="58" t="n"/>
      <c r="B8" s="62" t="inlineStr">
        <is>
          <t>Ning, H., Fa, J., Ding, J. (2026)</t>
        </is>
      </c>
    </row>
    <row r="9" ht="15" customHeight="1" s="57">
      <c r="A9" s="58" t="n"/>
      <c r="B9" s="62" t="inlineStr">
        <is>
          <t>Submitted to: Scientific African</t>
        </is>
      </c>
    </row>
    <row r="10" ht="15" customHeight="1" s="57">
      <c r="A10" s="58" t="n"/>
      <c r="B10" s="58" t="n"/>
      <c r="C10" s="58" t="n"/>
      <c r="D10" s="58" t="n"/>
      <c r="E10" s="58" t="n"/>
      <c r="F10" s="58" t="n"/>
      <c r="G10" s="58" t="n"/>
    </row>
    <row r="11" ht="3" customHeight="1" s="57">
      <c r="A11" s="58" t="n"/>
      <c r="B11" s="63" t="n"/>
    </row>
    <row r="12" ht="15" customHeight="1" s="57">
      <c r="A12" s="58" t="n"/>
      <c r="B12" s="58" t="n"/>
      <c r="C12" s="58" t="n"/>
      <c r="D12" s="58" t="n"/>
      <c r="E12" s="58" t="n"/>
      <c r="F12" s="58" t="n"/>
      <c r="G12" s="58" t="n"/>
    </row>
    <row r="13" ht="27.75" customHeight="1" s="57">
      <c r="A13" s="58" t="n"/>
      <c r="B13" s="64" t="inlineStr">
        <is>
          <t>WORKBOOK CONTENTS</t>
        </is>
      </c>
    </row>
    <row r="14" ht="15" customHeight="1" s="57">
      <c r="A14" s="58" t="n"/>
      <c r="B14" s="58" t="n"/>
      <c r="C14" s="58" t="n"/>
      <c r="D14" s="58" t="n"/>
      <c r="E14" s="58" t="n"/>
      <c r="F14" s="58" t="n"/>
      <c r="G14" s="58" t="n"/>
    </row>
    <row r="15" ht="24" customHeight="1" s="57">
      <c r="A15" s="58" t="n"/>
      <c r="B15" s="65" t="inlineStr">
        <is>
          <t>Sheet</t>
        </is>
      </c>
      <c r="C15" s="65" t="inlineStr">
        <is>
          <t>Description</t>
        </is>
      </c>
      <c r="D15" s="58" t="n"/>
      <c r="E15" s="65" t="inlineStr">
        <is>
          <t>Content Summary</t>
        </is>
      </c>
      <c r="F15" s="66" t="n"/>
      <c r="G15" s="67" t="n"/>
    </row>
    <row r="16" ht="39.75" customHeight="1" s="57">
      <c r="A16" s="58" t="n"/>
      <c r="B16" s="68" t="inlineStr">
        <is>
          <t>CPST Rating Rubric</t>
        </is>
      </c>
      <c r="C16" s="69" t="inlineStr">
        <is>
          <t>Detailed scoring criteria for all 4 dimensions</t>
        </is>
      </c>
      <c r="D16" s="67" t="n"/>
      <c r="E16" s="70" t="inlineStr">
        <is>
          <t>6-level rating scale, 24 criterion definitions, evidence requirements, assessment guidance</t>
        </is>
      </c>
      <c r="F16" s="66" t="n"/>
      <c r="G16" s="67" t="n"/>
    </row>
    <row r="17" ht="39.75" customHeight="1" s="57">
      <c r="A17" s="58" t="n"/>
      <c r="B17" s="68" t="inlineStr">
        <is>
          <t>Assessment Protocol</t>
        </is>
      </c>
      <c r="C17" s="69" t="inlineStr">
        <is>
          <t>Structured qualitative methodology documentation</t>
        </is>
      </c>
      <c r="D17" s="67" t="n"/>
      <c r="E17" s="70" t="inlineStr">
        <is>
          <t>Protocol overview, dimension mapping criteria, 7-step data collection protocol, quality assurance measures</t>
        </is>
      </c>
      <c r="F17" s="66" t="n"/>
      <c r="G17" s="67" t="n"/>
    </row>
    <row r="18" ht="39.75" customHeight="1" s="57">
      <c r="A18" s="58" t="n"/>
      <c r="B18" s="68" t="inlineStr">
        <is>
          <t>Case Study Results</t>
        </is>
      </c>
      <c r="C18" s="69" t="inlineStr">
        <is>
          <t>Comparative CPST profiles of 5 African countries</t>
        </is>
      </c>
      <c r="D18" s="67" t="n"/>
      <c r="E18" s="70" t="inlineStr">
        <is>
          <t>Ghana, Nigeria, Ethiopia, South Africa, Kenya ratings with visual chart and diagnostic findings</t>
        </is>
      </c>
      <c r="F18" s="66" t="n"/>
      <c r="G18" s="67" t="n"/>
    </row>
    <row r="19" ht="39.75" customHeight="1" s="57">
      <c r="A19" s="58" t="n"/>
      <c r="B19" s="68" t="inlineStr">
        <is>
          <t>Dataset Coverage</t>
        </is>
      </c>
      <c r="C19" s="69" t="inlineStr">
        <is>
          <t>African language coverage across 6 major benchmarks</t>
        </is>
      </c>
      <c r="D19" s="67" t="n"/>
      <c r="E19" s="70" t="inlineStr">
        <is>
          <t>17 languages mapped across AfriSenti, MasakhaNER, AfroLM, NLLB-200, Common Voice with coverage statistics</t>
        </is>
      </c>
      <c r="F19" s="66" t="n"/>
      <c r="G19" s="67" t="n"/>
    </row>
    <row r="20" ht="39.75" customHeight="1" s="57">
      <c r="A20" s="58" t="n"/>
      <c r="B20" s="68" t="inlineStr">
        <is>
          <t>Assessment Template</t>
        </is>
      </c>
      <c r="C20" s="69" t="inlineStr">
        <is>
          <t>Blank field assessment form for new evaluations</t>
        </is>
      </c>
      <c r="D20" s="67" t="n"/>
      <c r="E20" s="70" t="inlineStr">
        <is>
          <t>Ready-to-use template with formulas for weighted scoring, auto-calculated subtotals, sign-off section</t>
        </is>
      </c>
      <c r="F20" s="66" t="n"/>
      <c r="G20" s="67" t="n"/>
    </row>
    <row r="21" ht="15" customHeight="1" s="57">
      <c r="A21" s="58" t="n"/>
      <c r="B21" s="58" t="n"/>
      <c r="C21" s="58" t="n"/>
      <c r="D21" s="58" t="n"/>
      <c r="E21" s="58" t="n"/>
      <c r="F21" s="58" t="n"/>
      <c r="G21" s="58" t="n"/>
    </row>
    <row r="22" ht="27.75" customHeight="1" s="57">
      <c r="A22" s="58" t="n"/>
      <c r="B22" s="64" t="inlineStr">
        <is>
          <t>HOW TO USE THIS WORKBOOK</t>
        </is>
      </c>
    </row>
    <row r="23" ht="15" customHeight="1" s="57">
      <c r="A23" s="58" t="n"/>
      <c r="B23" s="58" t="n"/>
      <c r="C23" s="58" t="n"/>
      <c r="D23" s="58" t="n"/>
      <c r="E23" s="58" t="n"/>
      <c r="F23" s="58" t="n"/>
      <c r="G23" s="58" t="n"/>
    </row>
    <row r="24" ht="24" customHeight="1" s="57">
      <c r="A24" s="58" t="n"/>
      <c r="B24" s="71" t="inlineStr">
        <is>
          <t>1. Review the CPST Rating Rubric sheet to understand the 6-level rating scale and dimension-specific criteria.</t>
        </is>
      </c>
    </row>
    <row r="25" ht="24" customHeight="1" s="57">
      <c r="A25" s="58" t="n"/>
      <c r="B25" s="71" t="inlineStr">
        <is>
          <t>2. Follow the Assessment Protocol sheet for standardized data collection and evaluation procedures.</t>
        </is>
      </c>
    </row>
    <row r="26" ht="24" customHeight="1" s="57">
      <c r="A26" s="58" t="n"/>
      <c r="B26" s="71" t="inlineStr">
        <is>
          <t>3. Reference the Case Study Results and Dataset Coverage sheets for comparative benchmarking.</t>
        </is>
      </c>
    </row>
    <row r="27" ht="24" customHeight="1" s="57">
      <c r="A27" s="58" t="n"/>
      <c r="B27" s="71" t="inlineStr">
        <is>
          <t>4. Use the Assessment Template sheet to conduct new CPST evaluations — enter ratings in column E and weighted scores auto-calculate.</t>
        </is>
      </c>
    </row>
    <row r="28" ht="24" customHeight="1" s="57">
      <c r="A28" s="58" t="n"/>
      <c r="B28" s="71" t="inlineStr">
        <is>
          <t>5. Ratings require convergence of at least two independent documentary sources per dimension.</t>
        </is>
      </c>
    </row>
    <row r="29" ht="15" customHeight="1" s="57">
      <c r="A29" s="58" t="n"/>
      <c r="B29" s="58" t="n"/>
      <c r="C29" s="58" t="n"/>
      <c r="D29" s="58" t="n"/>
      <c r="E29" s="58" t="n"/>
      <c r="F29" s="58" t="n"/>
      <c r="G29" s="58" t="n"/>
    </row>
    <row r="30" ht="15" customHeight="1" s="57">
      <c r="A30" s="58" t="n"/>
      <c r="B30" s="58" t="n"/>
      <c r="C30" s="58" t="n"/>
      <c r="D30" s="58" t="n"/>
      <c r="E30" s="58" t="n"/>
      <c r="F30" s="58" t="n"/>
      <c r="G30" s="58" t="n"/>
    </row>
    <row r="31" ht="25.5" customHeight="1" s="57">
      <c r="A31" s="58" t="n"/>
      <c r="B31" s="72" t="inlineStr">
        <is>
          <t>CITATION</t>
        </is>
      </c>
    </row>
    <row r="32" ht="30" customHeight="1" s="57">
      <c r="A32" s="58" t="n"/>
      <c r="B32" s="73" t="inlineStr">
        <is>
          <t>Ning, H., Fa, J., &amp; Ding, J. (2026). A Cyber-Physical-Social-Thinking (CPST) Framework for African Minor Language Preservation and Revitalization in the AGI Era. Scientific African.</t>
        </is>
      </c>
    </row>
    <row r="33" ht="15" customHeight="1" s="57">
      <c r="A33" s="58" t="n"/>
      <c r="B33" s="58" t="n"/>
      <c r="C33" s="58" t="n"/>
      <c r="D33" s="58" t="n"/>
      <c r="E33" s="58" t="n"/>
      <c r="F33" s="58" t="n"/>
      <c r="G33" s="58" t="n"/>
    </row>
    <row r="34" ht="15" customHeight="1" s="57">
      <c r="A34" s="58" t="n"/>
      <c r="B34" s="58" t="n"/>
      <c r="C34" s="58" t="n"/>
      <c r="D34" s="58" t="n"/>
      <c r="E34" s="58" t="n"/>
      <c r="F34" s="58" t="n"/>
      <c r="G34" s="58" t="n"/>
    </row>
  </sheetData>
  <mergeCells count="26">
    <mergeCell ref="E19:G19"/>
    <mergeCell ref="B8:G8"/>
    <mergeCell ref="B13:G13"/>
    <mergeCell ref="E15:G15"/>
    <mergeCell ref="C20:D20"/>
    <mergeCell ref="B28:G28"/>
    <mergeCell ref="C16:D16"/>
    <mergeCell ref="B9:G9"/>
    <mergeCell ref="B6:G6"/>
    <mergeCell ref="B24:G24"/>
    <mergeCell ref="E16:G16"/>
    <mergeCell ref="B5:G5"/>
    <mergeCell ref="B32:G32"/>
    <mergeCell ref="E18:G18"/>
    <mergeCell ref="B26:G26"/>
    <mergeCell ref="C17:D17"/>
    <mergeCell ref="B25:G25"/>
    <mergeCell ref="B3:G3"/>
    <mergeCell ref="B22:G22"/>
    <mergeCell ref="B31:G31"/>
    <mergeCell ref="C19:D19"/>
    <mergeCell ref="B27:G27"/>
    <mergeCell ref="E17:G17"/>
    <mergeCell ref="C18:D18"/>
    <mergeCell ref="E20:G20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22" customWidth="1" style="56" min="2" max="2"/>
    <col width="18" customWidth="1" style="56" min="3" max="3"/>
    <col width="60" customWidth="1" style="56" min="4" max="4"/>
    <col width="35" customWidth="1" style="56" min="5" max="6"/>
  </cols>
  <sheetData>
    <row r="1"/>
    <row r="2" ht="31.5" customHeight="1" s="57">
      <c r="B2" s="74" t="inlineStr">
        <is>
          <t>CPST Assessment Rating Rubric</t>
        </is>
      </c>
    </row>
    <row r="3" ht="21.75" customHeight="1" s="57">
      <c r="B3" s="75" t="inlineStr">
        <is>
          <t>Supplementary Material for: A Cyber-Physical-Social-Thinking (CPST) Framework for African Minor Language Preservation</t>
        </is>
      </c>
    </row>
    <row r="4"/>
    <row r="5" ht="25.5" customHeight="1" s="57">
      <c r="B5" s="76" t="inlineStr">
        <is>
          <t>RATING SCALE DEFINITIONS</t>
        </is>
      </c>
    </row>
    <row r="6" ht="24" customHeight="1" s="57">
      <c r="B6" s="65" t="inlineStr">
        <is>
          <t>Rating</t>
        </is>
      </c>
      <c r="C6" s="65" t="inlineStr">
        <is>
          <t>Label</t>
        </is>
      </c>
      <c r="D6" s="65" t="inlineStr">
        <is>
          <t>Definition</t>
        </is>
      </c>
      <c r="E6" s="65" t="inlineStr">
        <is>
          <t>Numeric Value</t>
        </is>
      </c>
      <c r="F6" s="65" t="inlineStr">
        <is>
          <t>Color Code</t>
        </is>
      </c>
    </row>
    <row r="7" ht="37.5" customHeight="1" s="57">
      <c r="B7" s="77" t="inlineStr">
        <is>
          <t>6</t>
        </is>
      </c>
      <c r="C7" s="77" t="inlineStr">
        <is>
          <t>Strong</t>
        </is>
      </c>
      <c r="D7" s="78" t="inlineStr">
        <is>
          <t>Well-developed infrastructure with documented evidence of sustained impact and active community engagement</t>
        </is>
      </c>
      <c r="E7" s="78" t="n">
        <v>6</v>
      </c>
      <c r="F7" s="78" t="inlineStr">
        <is>
          <t>Dark Green</t>
        </is>
      </c>
    </row>
    <row r="8" ht="37.5" customHeight="1" s="57">
      <c r="B8" s="77" t="inlineStr">
        <is>
          <t>5</t>
        </is>
      </c>
      <c r="C8" s="77" t="inlineStr">
        <is>
          <t>Moderate</t>
        </is>
      </c>
      <c r="D8" s="78" t="inlineStr">
        <is>
          <t>Established infrastructure with some evidence of deployment but limited reach or sustainability concerns</t>
        </is>
      </c>
      <c r="E8" s="78" t="n">
        <v>5</v>
      </c>
      <c r="F8" s="78" t="inlineStr">
        <is>
          <t>Light Green</t>
        </is>
      </c>
    </row>
    <row r="9" ht="37.5" customHeight="1" s="57">
      <c r="B9" s="77" t="inlineStr">
        <is>
          <t>4</t>
        </is>
      </c>
      <c r="C9" s="77" t="inlineStr">
        <is>
          <t>Mixed</t>
        </is>
      </c>
      <c r="D9" s="78" t="inlineStr">
        <is>
          <t>Uneven development: some sub-dimensions are strong while others remain weak or underdeveloped</t>
        </is>
      </c>
      <c r="E9" s="78" t="n">
        <v>4</v>
      </c>
      <c r="F9" s="78" t="inlineStr">
        <is>
          <t>Yellow</t>
        </is>
      </c>
    </row>
    <row r="10" ht="37.5" customHeight="1" s="57">
      <c r="B10" s="77" t="inlineStr">
        <is>
          <t>3</t>
        </is>
      </c>
      <c r="C10" s="77" t="inlineStr">
        <is>
          <t>Emerging</t>
        </is>
      </c>
      <c r="D10" s="78" t="inlineStr">
        <is>
          <t>Initial efforts visible but not yet operational or scalable; pilot-stage initiatives</t>
        </is>
      </c>
      <c r="E10" s="78" t="n">
        <v>3</v>
      </c>
      <c r="F10" s="78" t="inlineStr">
        <is>
          <t>Orange</t>
        </is>
      </c>
    </row>
    <row r="11" ht="37.5" customHeight="1" s="57">
      <c r="B11" s="77" t="inlineStr">
        <is>
          <t>2</t>
        </is>
      </c>
      <c r="C11" s="77" t="inlineStr">
        <is>
          <t>Weak</t>
        </is>
      </c>
      <c r="D11" s="78" t="inlineStr">
        <is>
          <t>Minimal infrastructure; fragmented or ad-hoc efforts without coordination</t>
        </is>
      </c>
      <c r="E11" s="78" t="n">
        <v>2</v>
      </c>
      <c r="F11" s="78" t="inlineStr">
        <is>
          <t>Red-Orange</t>
        </is>
      </c>
    </row>
    <row r="12" ht="37.5" customHeight="1" s="57">
      <c r="B12" s="77" t="inlineStr">
        <is>
          <t>1</t>
        </is>
      </c>
      <c r="C12" s="77" t="inlineStr">
        <is>
          <t>Not addressed</t>
        </is>
      </c>
      <c r="D12" s="78" t="inlineStr">
        <is>
          <t>No identifiable initiatives or infrastructure in this dimension</t>
        </is>
      </c>
      <c r="E12" s="78" t="n">
        <v>1</v>
      </c>
      <c r="F12" s="78" t="inlineStr">
        <is>
          <t>Red</t>
        </is>
      </c>
    </row>
    <row r="13"/>
    <row r="14" ht="7.5" customHeight="1" s="57"/>
    <row r="15" ht="25.5" customHeight="1" s="57">
      <c r="B15" s="76" t="inlineStr">
        <is>
          <t>DIMENSION-SPECIFIC ASSESSMENT CRITERIA</t>
        </is>
      </c>
    </row>
    <row r="16" ht="24" customHeight="1" s="57">
      <c r="B16" s="79" t="inlineStr">
        <is>
          <t>DIMENSION 1: CYBER (Digital Infrastructure)</t>
        </is>
      </c>
    </row>
    <row r="17" ht="27.75" customHeight="1" s="57">
      <c r="B17" s="80" t="inlineStr">
        <is>
          <t>Criterion</t>
        </is>
      </c>
      <c r="C17" s="80" t="inlineStr">
        <is>
          <t>Weight</t>
        </is>
      </c>
      <c r="D17" s="80" t="inlineStr">
        <is>
          <t>Description</t>
        </is>
      </c>
      <c r="E17" s="80" t="inlineStr">
        <is>
          <t>Evidence Required</t>
        </is>
      </c>
      <c r="F17" s="80" t="inlineStr">
        <is>
          <t>Assessment Guidance</t>
        </is>
      </c>
    </row>
    <row r="18" ht="45" customHeight="1" s="57">
      <c r="B18" s="81" t="inlineStr">
        <is>
          <t>Digital Corpora</t>
        </is>
      </c>
      <c r="C18" s="82" t="inlineStr">
        <is>
          <t>25%</t>
        </is>
      </c>
      <c r="D18" s="82" t="inlineStr">
        <is>
          <t>Availability and quality of text, speech, and multimodal datasets</t>
        </is>
      </c>
      <c r="E18" s="82" t="inlineStr">
        <is>
          <t>Corpus size, language coverage, annotation quality, open-source availability</t>
        </is>
      </c>
      <c r="F18" s="83" t="inlineStr">
        <is>
          <t>Check Hugging Face, GitHub, academic papers for documented corpora</t>
        </is>
      </c>
    </row>
    <row r="19" ht="45" customHeight="1" s="57">
      <c r="B19" s="81" t="inlineStr">
        <is>
          <t>Language Models</t>
        </is>
      </c>
      <c r="C19" s="82" t="inlineStr">
        <is>
          <t>25%</t>
        </is>
      </c>
      <c r="D19" s="82" t="inlineStr">
        <is>
          <t>Pre-trained and fine-tuned models for language understanding and generation</t>
        </is>
      </c>
      <c r="E19" s="82" t="inlineStr">
        <is>
          <t>Model checkpoints, evaluation scores, architecture documentation</t>
        </is>
      </c>
      <c r="F19" s="83" t="inlineStr">
        <is>
          <t>Verify model availability on model hubs; check benchmark performance</t>
        </is>
      </c>
    </row>
    <row r="20" ht="45" customHeight="1" s="57">
      <c r="B20" s="81" t="inlineStr">
        <is>
          <t>Machine Translation</t>
        </is>
      </c>
      <c r="C20" s="82" t="inlineStr">
        <is>
          <t>15%</t>
        </is>
      </c>
      <c r="D20" s="82" t="inlineStr">
        <is>
          <t>Translation systems supporting the language</t>
        </is>
      </c>
      <c r="E20" s="82" t="inlineStr">
        <is>
          <t>BLEU/chrF scores, human evaluation, language pair coverage</t>
        </is>
      </c>
      <c r="F20" s="83" t="inlineStr">
        <is>
          <t>Test translation quality; check NLLB coverage and specialized MT systems</t>
        </is>
      </c>
    </row>
    <row r="21" ht="45" customHeight="1" s="57">
      <c r="B21" s="81" t="inlineStr">
        <is>
          <t>Speech Technology</t>
        </is>
      </c>
      <c r="C21" s="82" t="inlineStr">
        <is>
          <t>15%</t>
        </is>
      </c>
      <c r="D21" s="82" t="inlineStr">
        <is>
          <t>ASR and TTS systems and resources</t>
        </is>
      </c>
      <c r="E21" s="82" t="inlineStr">
        <is>
          <t>WER for ASR, MOS for TTS, hours of speech data available</t>
        </is>
      </c>
      <c r="F21" s="83" t="inlineStr">
        <is>
          <t>Evaluate speech demos; check Common Voice contributions</t>
        </is>
      </c>
    </row>
    <row r="22" ht="45" customHeight="1" s="57">
      <c r="B22" s="81" t="inlineStr">
        <is>
          <t>Benchmarks</t>
        </is>
      </c>
      <c r="C22" s="82" t="inlineStr">
        <is>
          <t>10%</t>
        </is>
      </c>
      <c r="D22" s="82" t="inlineStr">
        <is>
          <t>Standardized evaluation datasets and leaderboards</t>
        </is>
      </c>
      <c r="E22" s="82" t="inlineStr">
        <is>
          <t>Number of tasks, language coverage, benchmark citations</t>
        </is>
      </c>
      <c r="F22" s="83" t="inlineStr">
        <is>
          <t>Check AfroBench, IrokoBench, Sahara inclusion</t>
        </is>
      </c>
    </row>
    <row r="23" ht="45" customHeight="1" s="57">
      <c r="B23" s="81" t="inlineStr">
        <is>
          <t>APIs &amp; Platforms</t>
        </is>
      </c>
      <c r="C23" s="82" t="inlineStr">
        <is>
          <t>10%</t>
        </is>
      </c>
      <c r="D23" s="82" t="inlineStr">
        <is>
          <t>Accessible interfaces for end-user applications</t>
        </is>
      </c>
      <c r="E23" s="82" t="inlineStr">
        <is>
          <t>API documentation, uptime, usage statistics, developer community</t>
        </is>
      </c>
      <c r="F23" s="83" t="inlineStr">
        <is>
          <t>Test API endpoints; check documentation completeness</t>
        </is>
      </c>
    </row>
    <row r="24"/>
    <row r="25" ht="24" customHeight="1" s="57">
      <c r="B25" s="79" t="inlineStr">
        <is>
          <t>DIMENSION 2: PHYSICAL (Tangible Infrastructure)</t>
        </is>
      </c>
    </row>
    <row r="26" ht="27.75" customHeight="1" s="57">
      <c r="B26" s="80" t="inlineStr">
        <is>
          <t>Criterion</t>
        </is>
      </c>
      <c r="C26" s="80" t="inlineStr">
        <is>
          <t>Weight</t>
        </is>
      </c>
      <c r="D26" s="80" t="inlineStr">
        <is>
          <t>Description</t>
        </is>
      </c>
      <c r="E26" s="80" t="inlineStr">
        <is>
          <t>Evidence Required</t>
        </is>
      </c>
      <c r="F26" s="80" t="inlineStr">
        <is>
          <t>Assessment Guidance</t>
        </is>
      </c>
    </row>
    <row r="27" ht="45" customHeight="1" s="57">
      <c r="B27" s="81" t="inlineStr">
        <is>
          <t>Offline Deployment</t>
        </is>
      </c>
      <c r="C27" s="82" t="inlineStr">
        <is>
          <t>25%</t>
        </is>
      </c>
      <c r="D27" s="82" t="inlineStr">
        <is>
          <t>Pre-loaded devices, SD cards, USB drives for low-connectivity areas</t>
        </is>
      </c>
      <c r="E27" s="82" t="inlineStr">
        <is>
          <t>Distribution numbers, device specifications, content pre-loaded</t>
        </is>
      </c>
      <c r="F27" s="83" t="inlineStr">
        <is>
          <t>Check for offline-first design; verify distribution reach in rural areas</t>
        </is>
      </c>
    </row>
    <row r="28" ht="45" customHeight="1" s="57">
      <c r="B28" s="81" t="inlineStr">
        <is>
          <t>Print Materials</t>
        </is>
      </c>
      <c r="C28" s="82" t="inlineStr">
        <is>
          <t>20%</t>
        </is>
      </c>
      <c r="D28" s="82" t="inlineStr">
        <is>
          <t>Textbooks, dictionaries, signage in the target language</t>
        </is>
      </c>
      <c r="E28" s="82" t="inlineStr">
        <is>
          <t>Publication counts, distribution channels, usage in schools</t>
        </is>
      </c>
      <c r="F28" s="83" t="inlineStr">
        <is>
          <t>Visit schools/community centers; check publisher catalogs</t>
        </is>
      </c>
    </row>
    <row r="29" ht="45" customHeight="1" s="57">
      <c r="B29" s="81" t="inlineStr">
        <is>
          <t>Community Radio</t>
        </is>
      </c>
      <c r="C29" s="82" t="inlineStr">
        <is>
          <t>20%</t>
        </is>
      </c>
      <c r="D29" s="82" t="inlineStr">
        <is>
          <t>Radio broadcasts in indigenous languages</t>
        </is>
      </c>
      <c r="E29" s="82" t="inlineStr">
        <is>
          <t>Broadcast hours, geographic coverage, listener surveys</t>
        </is>
      </c>
      <c r="F29" s="83" t="inlineStr">
        <is>
          <t>Contact radio stations; check broadcast schedules and coverage maps</t>
        </is>
      </c>
    </row>
    <row r="30" ht="45" customHeight="1" s="57">
      <c r="B30" s="81" t="inlineStr">
        <is>
          <t>Writing Systems</t>
        </is>
      </c>
      <c r="C30" s="82" t="inlineStr">
        <is>
          <t>15%</t>
        </is>
      </c>
      <c r="D30" s="82" t="inlineStr">
        <is>
          <t>Standardized orthographies and Unicode support</t>
        </is>
      </c>
      <c r="E30" s="82" t="inlineStr">
        <is>
          <t>Unicode status, font availability, keyboard layout support</t>
        </is>
      </c>
      <c r="F30" s="83" t="inlineStr">
        <is>
          <t>Verify Unicode block allocation; test input methods</t>
        </is>
      </c>
    </row>
    <row r="31" ht="45" customHeight="1" s="57">
      <c r="B31" s="81" t="inlineStr">
        <is>
          <t>Public Signage</t>
        </is>
      </c>
      <c r="C31" s="82" t="inlineStr">
        <is>
          <t>10%</t>
        </is>
      </c>
      <c r="D31" s="82" t="inlineStr">
        <is>
          <t>Government signage, administrative forms in the language</t>
        </is>
      </c>
      <c r="E31" s="82" t="inlineStr">
        <is>
          <t>Documentation of official language use in public spaces</t>
        </is>
      </c>
      <c r="F31" s="83" t="inlineStr">
        <is>
          <t>Photograph/document public signage; check government websites</t>
        </is>
      </c>
    </row>
    <row r="32" ht="45" customHeight="1" s="57">
      <c r="B32" s="81" t="inlineStr">
        <is>
          <t>Storage &amp; Archive</t>
        </is>
      </c>
      <c r="C32" s="82" t="inlineStr">
        <is>
          <t>10%</t>
        </is>
      </c>
      <c r="D32" s="82" t="inlineStr">
        <is>
          <t>Physical and offline digital preservation of language materials</t>
        </is>
      </c>
      <c r="E32" s="82" t="inlineStr">
        <is>
          <t>Archive accessibility, backup protocols, redundancy measures</t>
        </is>
      </c>
      <c r="F32" s="83" t="inlineStr">
        <is>
          <t>Check national archives; verify community-held materials</t>
        </is>
      </c>
    </row>
    <row r="33"/>
    <row r="34" ht="24" customHeight="1" s="57">
      <c r="B34" s="79" t="inlineStr">
        <is>
          <t>DIMENSION 3: SOCIAL (Institutions &amp; Community)</t>
        </is>
      </c>
    </row>
    <row r="35" ht="27.75" customHeight="1" s="57">
      <c r="B35" s="80" t="inlineStr">
        <is>
          <t>Criterion</t>
        </is>
      </c>
      <c r="C35" s="80" t="inlineStr">
        <is>
          <t>Weight</t>
        </is>
      </c>
      <c r="D35" s="80" t="inlineStr">
        <is>
          <t>Description</t>
        </is>
      </c>
      <c r="E35" s="80" t="inlineStr">
        <is>
          <t>Evidence Required</t>
        </is>
      </c>
      <c r="F35" s="80" t="inlineStr">
        <is>
          <t>Assessment Guidance</t>
        </is>
      </c>
    </row>
    <row r="36" ht="45" customHeight="1" s="57">
      <c r="B36" s="81" t="inlineStr">
        <is>
          <t>Institutional Partnerships</t>
        </is>
      </c>
      <c r="C36" s="82" t="inlineStr">
        <is>
          <t>25%</t>
        </is>
      </c>
      <c r="D36" s="82" t="inlineStr">
        <is>
          <t>Government, university, NGO, and industry collaborations</t>
        </is>
      </c>
      <c r="E36" s="82" t="inlineStr">
        <is>
          <t>MOUs, joint projects, funding streams, policy documents</t>
        </is>
      </c>
      <c r="F36" s="83" t="inlineStr">
        <is>
          <t>Review partnership agreements; check institutional websites</t>
        </is>
      </c>
    </row>
    <row r="37" ht="45" customHeight="1" s="57">
      <c r="B37" s="81" t="inlineStr">
        <is>
          <t>Community Engagement</t>
        </is>
      </c>
      <c r="C37" s="82" t="inlineStr">
        <is>
          <t>25%</t>
        </is>
      </c>
      <c r="D37" s="82" t="inlineStr">
        <is>
          <t>Native speaker involvement in data collection and validation</t>
        </is>
      </c>
      <c r="E37" s="82" t="inlineStr">
        <is>
          <t>Volunteer network size, annotation workflows, community events</t>
        </is>
      </c>
      <c r="F37" s="83" t="inlineStr">
        <is>
          <t>Check Masakhane-style participatory models; verify community governance</t>
        </is>
      </c>
    </row>
    <row r="38" ht="45" customHeight="1" s="57">
      <c r="B38" s="81" t="inlineStr">
        <is>
          <t>Capacity Building</t>
        </is>
      </c>
      <c r="C38" s="82" t="inlineStr">
        <is>
          <t>20%</t>
        </is>
      </c>
      <c r="D38" s="82" t="inlineStr">
        <is>
          <t>Training programmes for local NLP researchers and practitioners</t>
        </is>
      </c>
      <c r="E38" s="82" t="inlineStr">
        <is>
          <t>Number of trainees, curriculum availability, career outcomes</t>
        </is>
      </c>
      <c r="F38" s="83" t="inlineStr">
        <is>
          <t>Check Deep Learning Indaba, African Languages Lab participation</t>
        </is>
      </c>
    </row>
    <row r="39" ht="45" customHeight="1" s="57">
      <c r="B39" s="81" t="inlineStr">
        <is>
          <t>Policy Integration</t>
        </is>
      </c>
      <c r="C39" s="82" t="inlineStr">
        <is>
          <t>15%</t>
        </is>
      </c>
      <c r="D39" s="82" t="inlineStr">
        <is>
          <t>National language policies supporting digital language technology</t>
        </is>
      </c>
      <c r="E39" s="82" t="inlineStr">
        <is>
          <t>Policy documents, implementation reports, budget allocations</t>
        </is>
      </c>
      <c r="F39" s="83" t="inlineStr">
        <is>
          <t>Review national language policies; check UNESCO IDIL action plans</t>
        </is>
      </c>
    </row>
    <row r="40" ht="45" customHeight="1" s="57">
      <c r="B40" s="81" t="inlineStr">
        <is>
          <t>Cross-Lingual Platforms</t>
        </is>
      </c>
      <c r="C40" s="82" t="inlineStr">
        <is>
          <t>10%</t>
        </is>
      </c>
      <c r="D40" s="82" t="inlineStr">
        <is>
          <t>Digital platforms enabling multilingual community interaction</t>
        </is>
      </c>
      <c r="E40" s="82" t="inlineStr">
        <is>
          <t>Platform user numbers, language pair coverage, content moderation</t>
        </is>
      </c>
      <c r="F40" s="83" t="inlineStr">
        <is>
          <t>Check social media presence; evaluate platform accessibility</t>
        </is>
      </c>
    </row>
    <row r="41" ht="45" customHeight="1" s="57">
      <c r="B41" s="81" t="inlineStr">
        <is>
          <t>Sustainability</t>
        </is>
      </c>
      <c r="C41" s="82" t="inlineStr">
        <is>
          <t>5%</t>
        </is>
      </c>
      <c r="D41" s="82" t="inlineStr">
        <is>
          <t>Long-term funding and organisational continuity plans</t>
        </is>
      </c>
      <c r="E41" s="82" t="inlineStr">
        <is>
          <t>Funding sources, organisational structure, succession planning</t>
        </is>
      </c>
      <c r="F41" s="83" t="inlineStr">
        <is>
          <t>Review grant awards; check organisational sustainability reports</t>
        </is>
      </c>
    </row>
    <row r="42"/>
    <row r="43" ht="24" customHeight="1" s="57">
      <c r="B43" s="79" t="inlineStr">
        <is>
          <t>DIMENSION 4: THINKING (Cognition &amp; Identity)</t>
        </is>
      </c>
    </row>
    <row r="44" ht="27.75" customHeight="1" s="57">
      <c r="B44" s="80" t="inlineStr">
        <is>
          <t>Criterion</t>
        </is>
      </c>
      <c r="C44" s="80" t="inlineStr">
        <is>
          <t>Weight</t>
        </is>
      </c>
      <c r="D44" s="80" t="inlineStr">
        <is>
          <t>Description</t>
        </is>
      </c>
      <c r="E44" s="80" t="inlineStr">
        <is>
          <t>Evidence Required</t>
        </is>
      </c>
      <c r="F44" s="80" t="inlineStr">
        <is>
          <t>Assessment Guidance</t>
        </is>
      </c>
    </row>
    <row r="45" ht="45" customHeight="1" s="57">
      <c r="B45" s="81" t="inlineStr">
        <is>
          <t>Linguistic Identity</t>
        </is>
      </c>
      <c r="C45" s="82" t="inlineStr">
        <is>
          <t>25%</t>
        </is>
      </c>
      <c r="D45" s="82" t="inlineStr">
        <is>
          <t>Community attitudes toward the language as part of cultural identity</t>
        </is>
      </c>
      <c r="E45" s="82" t="inlineStr">
        <is>
          <t>Survey data, interview transcripts, social media sentiment analysis</t>
        </is>
      </c>
      <c r="F45" s="83" t="inlineStr">
        <is>
          <t>Conduct attitude surveys; analyse social media discourse</t>
        </is>
      </c>
    </row>
    <row r="46" ht="45" customHeight="1" s="57">
      <c r="B46" s="81" t="inlineStr">
        <is>
          <t>Participatory Design</t>
        </is>
      </c>
      <c r="C46" s="82" t="inlineStr">
        <is>
          <t>25%</t>
        </is>
      </c>
      <c r="D46" s="82" t="inlineStr">
        <is>
          <t>Community involvement in technology design and governance</t>
        </is>
      </c>
      <c r="E46" s="82" t="inlineStr">
        <is>
          <t>Design workshop records, community review board minutes, consent protocols</t>
        </is>
      </c>
      <c r="F46" s="83" t="inlineStr">
        <is>
          <t>Check for community co-design sessions; verify data sovereignty agreements</t>
        </is>
      </c>
    </row>
    <row r="47" ht="45" customHeight="1" s="57">
      <c r="B47" s="81" t="inlineStr">
        <is>
          <t>Technology Trust</t>
        </is>
      </c>
      <c r="C47" s="82" t="inlineStr">
        <is>
          <t>20%</t>
        </is>
      </c>
      <c r="D47" s="82" t="inlineStr">
        <is>
          <t>Community confidence in AI/AGI language tools</t>
        </is>
      </c>
      <c r="E47" s="82" t="inlineStr">
        <is>
          <t>User acceptance studies, trust surveys, adoption rate data</t>
        </is>
      </c>
      <c r="F47" s="83" t="inlineStr">
        <is>
          <t>Conduct user studies; monitor app download and retention rates</t>
        </is>
      </c>
    </row>
    <row r="48" ht="45" customHeight="1" s="57">
      <c r="B48" s="81" t="inlineStr">
        <is>
          <t>Prestige &amp; Status</t>
        </is>
      </c>
      <c r="C48" s="82" t="inlineStr">
        <is>
          <t>15%</t>
        </is>
      </c>
      <c r="D48" s="82" t="inlineStr">
        <is>
          <t>Perceived social and economic value of the language</t>
        </is>
      </c>
      <c r="E48" s="82" t="inlineStr">
        <is>
          <t>Employment data, educational outcomes, intergenerational transmission rates</t>
        </is>
      </c>
      <c r="F48" s="83" t="inlineStr">
        <is>
          <t>Track language use across generations; correlate with socioeconomic factors</t>
        </is>
      </c>
    </row>
    <row r="49" ht="45" customHeight="1" s="57">
      <c r="B49" s="81" t="inlineStr">
        <is>
          <t>Epistemic Justice</t>
        </is>
      </c>
      <c r="C49" s="82" t="inlineStr">
        <is>
          <t>10%</t>
        </is>
      </c>
      <c r="D49" s="82" t="inlineStr">
        <is>
          <t>Recognition of indigenous knowledge systems in technology</t>
        </is>
      </c>
      <c r="E49" s="82" t="inlineStr">
        <is>
          <t>Citation of local experts, knowledge co-production documentation</t>
        </is>
      </c>
      <c r="F49" s="83" t="inlineStr">
        <is>
          <t>Check authorship of papers; verify community knowledge attribution</t>
        </is>
      </c>
    </row>
    <row r="50" ht="45" customHeight="1" s="57">
      <c r="B50" s="81" t="inlineStr">
        <is>
          <t>Cognitive Load</t>
        </is>
      </c>
      <c r="C50" s="82" t="inlineStr">
        <is>
          <t>5%</t>
        </is>
      </c>
      <c r="D50" s="82" t="inlineStr">
        <is>
          <t>Usability and accessibility of language technology interfaces</t>
        </is>
      </c>
      <c r="E50" s="82" t="inlineStr">
        <is>
          <t>User experience testing, error rates, help-seeking behaviour</t>
        </is>
      </c>
      <c r="F50" s="83" t="inlineStr">
        <is>
          <t>Conduct UX studies with elderly and low-literacy users</t>
        </is>
      </c>
    </row>
  </sheetData>
  <mergeCells count="8">
    <mergeCell ref="B43:F43"/>
    <mergeCell ref="B2:F2"/>
    <mergeCell ref="B16:F16"/>
    <mergeCell ref="B15:F15"/>
    <mergeCell ref="B34:F34"/>
    <mergeCell ref="B25:F25"/>
    <mergeCell ref="B3:F3"/>
    <mergeCell ref="B5:F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25" customWidth="1" style="56" min="2" max="2"/>
    <col width="65" customWidth="1" style="56" min="3" max="3"/>
    <col width="25" customWidth="1" style="56" min="4" max="4"/>
  </cols>
  <sheetData>
    <row r="1"/>
    <row r="2" ht="31.5" customHeight="1" s="57">
      <c r="B2" s="74" t="inlineStr">
        <is>
          <t>CPST Qualitative Assessment Protocol</t>
        </is>
      </c>
    </row>
    <row r="3" ht="21.75" customHeight="1" s="57">
      <c r="B3" s="75" t="inlineStr">
        <is>
          <t>Structured qualitative assessment methodology for CPST dimension mapping</t>
        </is>
      </c>
    </row>
    <row r="4"/>
    <row r="5" ht="25.5" customHeight="1" s="57">
      <c r="B5" s="76" t="inlineStr">
        <is>
          <t>PROTOCOL OVERVIEW</t>
        </is>
      </c>
    </row>
    <row r="6" ht="31.5" customHeight="1" s="57">
      <c r="B6" s="81" t="inlineStr">
        <is>
          <t>Purpose</t>
        </is>
      </c>
      <c r="C6" s="82" t="inlineStr">
        <is>
          <t>To systematically evaluate language preservation initiatives across the four CPST dimensions using structured qualitative criteria</t>
        </is>
      </c>
      <c r="D6" s="67" t="n"/>
    </row>
    <row r="7" ht="31.5" customHeight="1" s="57">
      <c r="B7" s="81" t="inlineStr">
        <is>
          <t>Method</t>
        </is>
      </c>
      <c r="C7" s="82" t="inlineStr">
        <is>
          <t>Document analysis, project documentation review, and expert triangulation</t>
        </is>
      </c>
      <c r="D7" s="67" t="n"/>
    </row>
    <row r="8" ht="31.5" customHeight="1" s="57">
      <c r="B8" s="81" t="inlineStr">
        <is>
          <t>Data Sources</t>
        </is>
      </c>
      <c r="C8" s="82" t="inlineStr">
        <is>
          <t>Peer-reviewed papers, technical reports, project websites, benchmark documentation, news articles, policy documents</t>
        </is>
      </c>
      <c r="D8" s="67" t="n"/>
    </row>
    <row r="9" ht="31.5" customHeight="1" s="57">
      <c r="B9" s="81" t="inlineStr">
        <is>
          <t>Rating Scale</t>
        </is>
      </c>
      <c r="C9" s="82" t="inlineStr">
        <is>
          <t>Strong (6), Moderate (5), Mixed (4), Emerging (3), Weak (2), Not addressed (1)</t>
        </is>
      </c>
      <c r="D9" s="67" t="n"/>
    </row>
    <row r="10" ht="31.5" customHeight="1" s="57">
      <c r="B10" s="81" t="inlineStr">
        <is>
          <t>Independence</t>
        </is>
      </c>
      <c r="C10" s="82" t="inlineStr">
        <is>
          <t>Two authors independently review documents; disagreements resolved through discussion; third author consulted for remaining cases</t>
        </is>
      </c>
      <c r="D10" s="67" t="n"/>
    </row>
    <row r="11" ht="31.5" customHeight="1" s="57">
      <c r="B11" s="81" t="inlineStr">
        <is>
          <t>Min. Sources</t>
        </is>
      </c>
      <c r="C11" s="82" t="inlineStr">
        <is>
          <t>Convergence of at least two independent sources required for each rating</t>
        </is>
      </c>
      <c r="D11" s="67" t="n"/>
    </row>
    <row r="12"/>
    <row r="13" ht="25.5" customHeight="1" s="57">
      <c r="B13" s="76" t="inlineStr">
        <is>
          <t>DIMENSION MAPPING CRITERIA</t>
        </is>
      </c>
    </row>
    <row r="14" ht="24" customHeight="1" s="57">
      <c r="B14" s="80" t="inlineStr">
        <is>
          <t>Dimension</t>
        </is>
      </c>
      <c r="C14" s="80" t="inlineStr">
        <is>
          <t>Assessment Criteria</t>
        </is>
      </c>
      <c r="D14" s="80" t="inlineStr">
        <is>
          <t>Rating Guidance</t>
        </is>
      </c>
    </row>
    <row r="15" ht="69.75" customHeight="1" s="57">
      <c r="B15" s="84" t="inlineStr">
        <is>
          <t>Cyber</t>
        </is>
      </c>
      <c r="C15" s="82" t="inlineStr">
        <is>
          <t>Presence and quality of digital corpora, models, APIs, or platforms; evidence of usage; open-source availability.</t>
        </is>
      </c>
      <c r="D15" s="83" t="inlineStr">
        <is>
          <t>Strong: Multiple high-quality datasets and models publicly available
Moderate: Some digital resources exist but limited
Weak: Minimal or no digital infrastructure</t>
        </is>
      </c>
    </row>
    <row r="16" ht="69.75" customHeight="1" s="57">
      <c r="B16" s="84" t="inlineStr">
        <is>
          <t>Physical</t>
        </is>
      </c>
      <c r="C16" s="82" t="inlineStr">
        <is>
          <t>Existence of offline deployment (SD cards, tablets, radio), printed materials (textbooks, signage), or infrastructure (broadcast, Unicode standards).</t>
        </is>
      </c>
      <c r="D16" s="83" t="inlineStr">
        <is>
          <t>Strong: Comprehensive offline deployment and print materials
Moderate: Some physical anchors exist
Weak: No tangible infrastructure</t>
        </is>
      </c>
    </row>
    <row r="17" ht="69.75" customHeight="1" s="57">
      <c r="B17" s="84" t="inlineStr">
        <is>
          <t>Social</t>
        </is>
      </c>
      <c r="C17" s="82" t="inlineStr">
        <is>
          <t>Institutional partnerships (government, academia, NGOs), community engagement (volunteer networks, training programmes), policy support.</t>
        </is>
      </c>
      <c r="D17" s="83" t="inlineStr">
        <is>
          <t>Strong: Multi-stakeholder partnerships with active community engagement
Moderate: Some institutional support
Weak: Isolated efforts without institutional backing</t>
        </is>
      </c>
    </row>
    <row r="18" ht="69.75" customHeight="1" s="57">
      <c r="B18" s="84" t="inlineStr">
        <is>
          <t>Thinking</t>
        </is>
      </c>
      <c r="C18" s="82" t="inlineStr">
        <is>
          <t>Evidence of participatory design, community ownership, linguistic pride measures (surveys, testimonials), or prestige campaigns.</t>
        </is>
      </c>
      <c r="D18" s="83" t="inlineStr">
        <is>
          <t>Strong: Documented community ownership and prestige building
Moderate: Some participatory elements
Weak: No evidence of community involvement or pride initiatives</t>
        </is>
      </c>
    </row>
    <row r="19"/>
    <row r="20" ht="25.5" customHeight="1" s="57">
      <c r="B20" s="76" t="inlineStr">
        <is>
          <t>DATA COLLECTION PROTOCOL</t>
        </is>
      </c>
    </row>
    <row r="21" ht="24" customHeight="1" s="57">
      <c r="B21" s="80" t="inlineStr">
        <is>
          <t>Step</t>
        </is>
      </c>
      <c r="C21" s="80" t="inlineStr">
        <is>
          <t>Activity</t>
        </is>
      </c>
      <c r="D21" s="80" t="inlineStr">
        <is>
          <t>Output</t>
        </is>
      </c>
    </row>
    <row r="22" ht="49.5" customHeight="1" s="57">
      <c r="B22" s="81" t="inlineStr">
        <is>
          <t>1. Source Identification</t>
        </is>
      </c>
      <c r="C22" s="82" t="inlineStr">
        <is>
          <t>Identify all publicly available materials: peer-reviewed papers, technical reports, project websites, benchmark documentation, news articles, policy documents</t>
        </is>
      </c>
      <c r="D22" s="82" t="inlineStr">
        <is>
          <t>Comprehensive source list with URLs and access dates</t>
        </is>
      </c>
    </row>
    <row r="23" ht="49.5" customHeight="1" s="57">
      <c r="B23" s="81" t="inlineStr">
        <is>
          <t>2. Document Collection</t>
        </is>
      </c>
      <c r="C23" s="82" t="inlineStr">
        <is>
          <t>Download and archive all identified documents. Record metadata: author, date, type, URL, archive location</t>
        </is>
      </c>
      <c r="D23" s="82" t="inlineStr">
        <is>
          <t>Organised document repository with metadata</t>
        </is>
      </c>
    </row>
    <row r="24" ht="49.5" customHeight="1" s="57">
      <c r="B24" s="81" t="inlineStr">
        <is>
          <t>3. Evidence Extraction</t>
        </is>
      </c>
      <c r="C24" s="82" t="inlineStr">
        <is>
          <t>For each CPST dimension, extract relevant evidence from each document using the dimension-specific criteria</t>
        </is>
      </c>
      <c r="D24" s="82" t="inlineStr">
        <is>
          <t>Structured evidence matrix (document x dimension)</t>
        </is>
      </c>
    </row>
    <row r="25" ht="49.5" customHeight="1" s="57">
      <c r="B25" s="81" t="inlineStr">
        <is>
          <t>4. Independent Rating</t>
        </is>
      </c>
      <c r="C25" s="82" t="inlineStr">
        <is>
          <t>Two assessors independently rate each dimension (1-6) based on convergent evidence from at least two sources</t>
        </is>
      </c>
      <c r="D25" s="82" t="inlineStr">
        <is>
          <t>Independent rating sheets with justification notes</t>
        </is>
      </c>
    </row>
    <row r="26" ht="49.5" customHeight="1" s="57">
      <c r="B26" s="81" t="inlineStr">
        <is>
          <t>5. Consensus Meeting</t>
        </is>
      </c>
      <c r="C26" s="82" t="inlineStr">
        <is>
          <t>Assessors meet to discuss ratings. Disagreements are resolved through evidence-based discussion</t>
        </is>
      </c>
      <c r="D26" s="82" t="inlineStr">
        <is>
          <t>Consensus rating with documented rationale</t>
        </is>
      </c>
    </row>
    <row r="27" ht="49.5" customHeight="1" s="57">
      <c r="B27" s="81" t="inlineStr">
        <is>
          <t>6. Third-Party Review</t>
        </is>
      </c>
      <c r="C27" s="82" t="inlineStr">
        <is>
          <t>For remaining disagreements, a third assessor reviews evidence and adjudicates final rating</t>
        </is>
      </c>
      <c r="D27" s="82" t="inlineStr">
        <is>
          <t>Final adjudicated ratings</t>
        </is>
      </c>
    </row>
    <row r="28" ht="49.5" customHeight="1" s="57">
      <c r="B28" s="81" t="inlineStr">
        <is>
          <t>7. Synthesis</t>
        </is>
      </c>
      <c r="C28" s="82" t="inlineStr">
        <is>
          <t>Aggregate ratings across all case studies to identify patterns, gaps, and strategic recommendations</t>
        </is>
      </c>
      <c r="D28" s="82" t="inlineStr">
        <is>
          <t>Comparative analysis table and narrative synthesis</t>
        </is>
      </c>
    </row>
    <row r="29"/>
    <row r="30" ht="25.5" customHeight="1" s="57">
      <c r="B30" s="76" t="inlineStr">
        <is>
          <t>QUALITY ASSURANCE MEASURES</t>
        </is>
      </c>
    </row>
    <row r="31" ht="27.75" customHeight="1" s="57">
      <c r="B31" s="81" t="inlineStr">
        <is>
          <t>Triangulation</t>
        </is>
      </c>
      <c r="C31" s="82" t="inlineStr">
        <is>
          <t>Ratings require convergence of at least two independent documentary sources</t>
        </is>
      </c>
      <c r="D31" s="67" t="n"/>
    </row>
    <row r="32" ht="27.75" customHeight="1" s="57">
      <c r="B32" s="81" t="inlineStr">
        <is>
          <t>Inter-rater Reliability</t>
        </is>
      </c>
      <c r="C32" s="82" t="inlineStr">
        <is>
          <t>Two independent assessors; Cohen's kappa calculated for agreement</t>
        </is>
      </c>
      <c r="D32" s="67" t="n"/>
    </row>
    <row r="33" ht="27.75" customHeight="1" s="57">
      <c r="B33" s="81" t="inlineStr">
        <is>
          <t>Audit Trail</t>
        </is>
      </c>
      <c r="C33" s="82" t="inlineStr">
        <is>
          <t>All evidence, ratings, and decision rationales documented and archived</t>
        </is>
      </c>
      <c r="D33" s="67" t="n"/>
    </row>
    <row r="34" ht="27.75" customHeight="1" s="57">
      <c r="B34" s="81" t="inlineStr">
        <is>
          <t>Source Transparency</t>
        </is>
      </c>
      <c r="C34" s="82" t="inlineStr">
        <is>
          <t>All sources cited with URLs and access dates for reproducibility</t>
        </is>
      </c>
      <c r="D34" s="67" t="n"/>
    </row>
    <row r="35" ht="27.75" customHeight="1" s="57">
      <c r="B35" s="81" t="inlineStr">
        <is>
          <t>Bias Mitigation</t>
        </is>
      </c>
      <c r="C35" s="82" t="inlineStr">
        <is>
          <t>Assessors blinded to each other's ratings until consensus meeting</t>
        </is>
      </c>
      <c r="D35" s="67" t="n"/>
    </row>
    <row r="36" ht="27.75" customHeight="1" s="57">
      <c r="B36" s="81" t="inlineStr">
        <is>
          <t>Limitation Acknowledgment</t>
        </is>
      </c>
      <c r="C36" s="82" t="inlineStr">
        <is>
          <t>Documentary sources may not capture informal or recent developments</t>
        </is>
      </c>
      <c r="D36" s="67" t="n"/>
    </row>
  </sheetData>
  <mergeCells count="18">
    <mergeCell ref="C34:D34"/>
    <mergeCell ref="B3:D3"/>
    <mergeCell ref="B5:D5"/>
    <mergeCell ref="C6:D6"/>
    <mergeCell ref="C7:D7"/>
    <mergeCell ref="C10:D10"/>
    <mergeCell ref="C32:D32"/>
    <mergeCell ref="B20:D20"/>
    <mergeCell ref="C33:D33"/>
    <mergeCell ref="C11:D11"/>
    <mergeCell ref="C36:D36"/>
    <mergeCell ref="B13:D13"/>
    <mergeCell ref="B2:D2"/>
    <mergeCell ref="B30:D30"/>
    <mergeCell ref="C9:D9"/>
    <mergeCell ref="C31:D31"/>
    <mergeCell ref="C8:D8"/>
    <mergeCell ref="C35:D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20" customWidth="1" style="56" min="2" max="2"/>
    <col width="18" customWidth="1" style="56" min="3" max="9"/>
    <col width="45" customWidth="1" style="56" min="10" max="10"/>
  </cols>
  <sheetData>
    <row r="1"/>
    <row r="2" ht="31.5" customHeight="1" s="57">
      <c r="B2" s="74" t="inlineStr">
        <is>
          <t>Comparative CPST Profiles of Case Studies</t>
        </is>
      </c>
    </row>
    <row r="3" ht="21.75" customHeight="1" s="57">
      <c r="B3" s="75" t="inlineStr">
        <is>
          <t>Ratings derived through structured qualitative assessment following the CPST protocol (Section 4 of main paper)</t>
        </is>
      </c>
    </row>
    <row r="4"/>
    <row r="5" ht="27.75" customHeight="1" s="57">
      <c r="B5" s="80" t="inlineStr">
        <is>
          <t>Dimension</t>
        </is>
      </c>
      <c r="C5" s="80" t="inlineStr">
        <is>
          <t>Ghana</t>
        </is>
      </c>
      <c r="D5" s="80" t="inlineStr">
        <is>
          <t>Nigeria</t>
        </is>
      </c>
      <c r="E5" s="80" t="inlineStr">
        <is>
          <t>Ethiopia</t>
        </is>
      </c>
      <c r="F5" s="80" t="inlineStr">
        <is>
          <t>South Africa</t>
        </is>
      </c>
      <c r="G5" s="80" t="inlineStr">
        <is>
          <t>Kenya</t>
        </is>
      </c>
      <c r="H5" s="80" t="inlineStr">
        <is>
          <t>Numeric Avg</t>
        </is>
      </c>
      <c r="I5" s="80" t="inlineStr">
        <is>
          <t>Label Avg</t>
        </is>
      </c>
      <c r="J5" s="80" t="inlineStr">
        <is>
          <t>Key Evidence Summary</t>
        </is>
      </c>
    </row>
    <row r="6" ht="75" customHeight="1" s="57">
      <c r="B6" s="81" t="inlineStr">
        <is>
          <t>Cyber</t>
        </is>
      </c>
      <c r="C6" s="82" t="inlineStr">
        <is>
          <t>Strong (corpus)</t>
        </is>
      </c>
      <c r="D6" s="82" t="inlineStr">
        <is>
          <t>Strong (platform)</t>
        </is>
      </c>
      <c r="E6" s="82" t="inlineStr">
        <is>
          <t>Mixed (Amharic)</t>
        </is>
      </c>
      <c r="F6" s="82" t="inlineStr">
        <is>
          <t>Strong (speech, SLM)</t>
        </is>
      </c>
      <c r="G6" s="82" t="inlineStr">
        <is>
          <t>Moderate (AfriVoices-KE)</t>
        </is>
      </c>
      <c r="H6" s="85">
        <f>AVERAGE(C15:G15)</f>
        <v/>
      </c>
      <c r="I6" s="82" t="inlineStr">
        <is>
          <t>Moderate-Strong</t>
        </is>
      </c>
      <c r="J6" s="83" t="inlineStr">
        <is>
          <t>GhanaNLP parallel corpus (41,500 sentences, 5 languages). Khaya AI translation engine. Nsanku benchmark (43 languages). NKENNE platform (13 languages, 100K+ learners). N-ATLAS (Llama-3-8B for Yoruba/Hausa/Igbo). EthioLLM/EthioMT (6 languages). Swivuriso (3,000 hrs). InkubaLM (0.4B params, 5 languages). AfriVoices-KE (3,000 hrs, 5 languages).</t>
        </is>
      </c>
    </row>
    <row r="7" ht="75" customHeight="1" s="57">
      <c r="B7" s="81" t="inlineStr">
        <is>
          <t>Physical</t>
        </is>
      </c>
      <c r="C7" s="82" t="inlineStr">
        <is>
          <t>Weak</t>
        </is>
      </c>
      <c r="D7" s="82" t="inlineStr">
        <is>
          <t>Emerging</t>
        </is>
      </c>
      <c r="E7" s="82" t="inlineStr">
        <is>
          <t>Moderate (Unicode)</t>
        </is>
      </c>
      <c r="F7" s="82" t="inlineStr">
        <is>
          <t>Weak (minor languages)</t>
        </is>
      </c>
      <c r="G7" s="82" t="inlineStr">
        <is>
          <t>Weak</t>
        </is>
      </c>
      <c r="H7" s="85">
        <f>AVERAGE(C16:G16)</f>
        <v/>
      </c>
      <c r="I7" s="82" t="inlineStr">
        <is>
          <t>Weak-Moderate</t>
        </is>
      </c>
      <c r="J7" s="83" t="inlineStr">
        <is>
          <t>No systematic textbooks or public signage. National rollout through NITDA partnership beginning. Ge'ez script standardised; national broadcasting infrastructure. Few textbooks/radio for Venda/Tsonga. Indigenous language textbooks scarce; radio predominantly Swahili/English.</t>
        </is>
      </c>
    </row>
    <row r="8" ht="75" customHeight="1" s="57">
      <c r="B8" s="81" t="inlineStr">
        <is>
          <t>Social</t>
        </is>
      </c>
      <c r="C8" s="82" t="inlineStr">
        <is>
          <t>Weak (research)</t>
        </is>
      </c>
      <c r="D8" s="82" t="inlineStr">
        <is>
          <t>Strong (govt, learners)</t>
        </is>
      </c>
      <c r="E8" s="82" t="inlineStr">
        <is>
          <t>Moderate (policy)</t>
        </is>
      </c>
      <c r="F8" s="82" t="inlineStr">
        <is>
          <t>Moderate (11 official)</t>
        </is>
      </c>
      <c r="G8" s="82" t="inlineStr">
        <is>
          <t>Mixed (Swahili strong, others weak)</t>
        </is>
      </c>
      <c r="H8" s="85">
        <f>AVERAGE(C17:G17)</f>
        <v/>
      </c>
      <c r="I8" s="82" t="inlineStr">
        <is>
          <t>Weak-Strong</t>
        </is>
      </c>
      <c r="J8" s="83" t="inlineStr">
        <is>
          <t>Limited community engagement beyond researchers. Government partnership + large user base. Mother-tongue primary education policy. Constitutional recognition of 11 languages. Strong Swahili policy support; minority languages lack institutional backing.</t>
        </is>
      </c>
    </row>
    <row r="9" ht="75" customHeight="1" s="57">
      <c r="B9" s="81" t="inlineStr">
        <is>
          <t>Thinking</t>
        </is>
      </c>
      <c r="C9" s="82" t="inlineStr">
        <is>
          <t>Not addressed</t>
        </is>
      </c>
      <c r="D9" s="82" t="inlineStr">
        <is>
          <t>Strong (design)</t>
        </is>
      </c>
      <c r="E9" s="82" t="inlineStr">
        <is>
          <t>Strong (pride)</t>
        </is>
      </c>
      <c r="F9" s="82" t="inlineStr">
        <is>
          <t>Moderate (urban/rural divide)</t>
        </is>
      </c>
      <c r="G9" s="82" t="inlineStr">
        <is>
          <t>Weak (urban youth)</t>
        </is>
      </c>
      <c r="H9" s="85">
        <f>AVERAGE(C18:G18)</f>
        <v/>
      </c>
      <c r="I9" s="82" t="inlineStr">
        <is>
          <t>Not addressed-Strong</t>
        </is>
      </c>
      <c r="J9" s="83" t="inlineStr">
        <is>
          <t>No prestige or participatory initiatives identified. Designed for African languages from ground up. 75% youth agree digital mother-tongue communication is source of pride. Urban prestige lower than rural. Urban youth view indigenous languages as low prestige; rural communities maintain oral traditions.</t>
        </is>
      </c>
    </row>
    <row r="10" ht="25.5" customHeight="1" s="57">
      <c r="B10" s="86" t="inlineStr">
        <is>
          <t>COUNTRY AVERAGE</t>
        </is>
      </c>
      <c r="C10" s="87">
        <f>AVERAGE(C15:C18)</f>
        <v/>
      </c>
      <c r="D10" s="87">
        <f>AVERAGE(D15:D18)</f>
        <v/>
      </c>
      <c r="E10" s="87">
        <f>AVERAGE(E15:E18)</f>
        <v/>
      </c>
      <c r="F10" s="87">
        <f>AVERAGE(F15:F18)</f>
        <v/>
      </c>
      <c r="G10" s="87">
        <f>AVERAGE(G15:G18)</f>
        <v/>
      </c>
      <c r="H10" s="87">
        <f>AVERAGE(C10:G10)</f>
        <v/>
      </c>
      <c r="I10" s="88" t="n"/>
      <c r="J10" s="88" t="n"/>
    </row>
    <row r="11"/>
    <row r="12"/>
    <row r="13"/>
    <row r="14" ht="15" customHeight="1" s="57">
      <c r="B14" s="89" t="inlineStr">
        <is>
          <t>Dimension</t>
        </is>
      </c>
      <c r="C14" s="89" t="inlineStr">
        <is>
          <t>Ghana</t>
        </is>
      </c>
      <c r="D14" s="89" t="inlineStr">
        <is>
          <t>Nigeria</t>
        </is>
      </c>
      <c r="E14" s="89" t="inlineStr">
        <is>
          <t>Ethiopia</t>
        </is>
      </c>
      <c r="F14" s="89" t="inlineStr">
        <is>
          <t>South Africa</t>
        </is>
      </c>
      <c r="G14" s="89" t="inlineStr">
        <is>
          <t>Kenya</t>
        </is>
      </c>
    </row>
    <row r="15" ht="15" customHeight="1" s="57">
      <c r="B15" s="90" t="inlineStr">
        <is>
          <t>Cyber</t>
        </is>
      </c>
      <c r="C15" s="90" t="n">
        <v>6</v>
      </c>
      <c r="D15" s="90" t="n">
        <v>6</v>
      </c>
      <c r="E15" s="90" t="n">
        <v>4</v>
      </c>
      <c r="F15" s="90" t="n">
        <v>6</v>
      </c>
      <c r="G15" s="90" t="n">
        <v>5</v>
      </c>
    </row>
    <row r="16" ht="15" customHeight="1" s="57">
      <c r="B16" s="90" t="inlineStr">
        <is>
          <t>Physical</t>
        </is>
      </c>
      <c r="C16" s="90" t="n">
        <v>2</v>
      </c>
      <c r="D16" s="90" t="n">
        <v>3</v>
      </c>
      <c r="E16" s="90" t="n">
        <v>5</v>
      </c>
      <c r="F16" s="90" t="n">
        <v>2</v>
      </c>
      <c r="G16" s="90" t="n">
        <v>2</v>
      </c>
    </row>
    <row r="17" ht="15" customHeight="1" s="57">
      <c r="B17" s="90" t="inlineStr">
        <is>
          <t>Social</t>
        </is>
      </c>
      <c r="C17" s="90" t="n">
        <v>2</v>
      </c>
      <c r="D17" s="90" t="n">
        <v>6</v>
      </c>
      <c r="E17" s="90" t="n">
        <v>5</v>
      </c>
      <c r="F17" s="90" t="n">
        <v>5</v>
      </c>
      <c r="G17" s="90" t="n">
        <v>4</v>
      </c>
    </row>
    <row r="18" ht="15" customHeight="1" s="57">
      <c r="B18" s="90" t="inlineStr">
        <is>
          <t>Thinking</t>
        </is>
      </c>
      <c r="C18" s="90" t="n">
        <v>1</v>
      </c>
      <c r="D18" s="90" t="n">
        <v>6</v>
      </c>
      <c r="E18" s="90" t="n">
        <v>6</v>
      </c>
      <c r="F18" s="90" t="n">
        <v>5</v>
      </c>
      <c r="G18" s="90" t="n">
        <v>2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 ht="25.5" customHeight="1" s="57">
      <c r="B38" s="76" t="inlineStr">
        <is>
          <t>KEY DIAGNOSTIC FINDINGS</t>
        </is>
      </c>
    </row>
    <row r="39" ht="49.5" customHeight="1" s="57">
      <c r="B39" s="91" t="inlineStr">
        <is>
          <t>Ghana</t>
        </is>
      </c>
      <c r="C39" s="82" t="inlineStr">
        <is>
          <t>Strong Cyber foundation (GhanaNLP corpus) but requires Physical (textbooks, signage) and Social (community engagement beyond researchers) strengthening. Thinking dimension not addressed.</t>
        </is>
      </c>
      <c r="D39" s="66" t="n"/>
      <c r="E39" s="66" t="n"/>
      <c r="F39" s="66" t="n"/>
      <c r="G39" s="66" t="n"/>
      <c r="H39" s="66" t="n"/>
      <c r="I39" s="66" t="n"/>
      <c r="J39" s="67" t="n"/>
    </row>
    <row r="40" ht="49.5" customHeight="1" s="57">
      <c r="B40" s="91" t="inlineStr">
        <is>
          <t>Nigeria</t>
        </is>
      </c>
      <c r="C40" s="82" t="inlineStr">
        <is>
          <t>Most balanced profile. Requires mechanisms for minority language inclusion beyond the initial 13 languages covered by NKENNE. Synthetic data generation may help scale.</t>
        </is>
      </c>
      <c r="D40" s="66" t="n"/>
      <c r="E40" s="66" t="n"/>
      <c r="F40" s="66" t="n"/>
      <c r="G40" s="66" t="n"/>
      <c r="H40" s="66" t="n"/>
      <c r="I40" s="66" t="n"/>
      <c r="J40" s="67" t="n"/>
    </row>
    <row r="41" ht="49.5" customHeight="1" s="57">
      <c r="B41" s="91" t="inlineStr">
        <is>
          <t>Ethiopia</t>
        </is>
      </c>
      <c r="C41" s="82" t="inlineStr">
        <is>
          <t>Strong Thinking dimension (linguistic pride) and good Physical infrastructure (Unicode, broadcasting). Cyber remains fragmented and under-resourced beyond Amharic; needs broader practical deployment for Oromo, Somali, Afar.</t>
        </is>
      </c>
      <c r="D41" s="66" t="n"/>
      <c r="E41" s="66" t="n"/>
      <c r="F41" s="66" t="n"/>
      <c r="G41" s="66" t="n"/>
      <c r="H41" s="66" t="n"/>
      <c r="I41" s="66" t="n"/>
      <c r="J41" s="67" t="n"/>
    </row>
    <row r="42" ht="49.5" customHeight="1" s="57">
      <c r="B42" s="91" t="inlineStr">
        <is>
          <t>South Africa</t>
        </is>
      </c>
      <c r="C42" s="82" t="inlineStr">
        <is>
          <t>Strong Cyber resources and Social policy support (11 official languages). Physical gaps persist for minor languages (Venda, Tsonga). Urban-rural Thinking disparities.</t>
        </is>
      </c>
      <c r="D42" s="66" t="n"/>
      <c r="E42" s="66" t="n"/>
      <c r="F42" s="66" t="n"/>
      <c r="G42" s="66" t="n"/>
      <c r="H42" s="66" t="n"/>
      <c r="I42" s="66" t="n"/>
      <c r="J42" s="67" t="n"/>
    </row>
    <row r="43" ht="49.5" customHeight="1" s="57">
      <c r="B43" s="91" t="inlineStr">
        <is>
          <t>Kenya</t>
        </is>
      </c>
      <c r="C43" s="82" t="inlineStr">
        <is>
          <t>Moderate Cyber (AfriVoices-KE) but weak Physical and Thinking for urban youth. Swahili dominance leaves 40+ indigenous languages underserved. Model needed for prestige elevation.</t>
        </is>
      </c>
      <c r="D43" s="66" t="n"/>
      <c r="E43" s="66" t="n"/>
      <c r="F43" s="66" t="n"/>
      <c r="G43" s="66" t="n"/>
      <c r="H43" s="66" t="n"/>
      <c r="I43" s="66" t="n"/>
      <c r="J43" s="67" t="n"/>
    </row>
    <row r="44"/>
    <row r="45"/>
    <row r="46"/>
    <row r="47"/>
  </sheetData>
  <mergeCells count="8">
    <mergeCell ref="B3:J3"/>
    <mergeCell ref="C39:J39"/>
    <mergeCell ref="C40:J40"/>
    <mergeCell ref="C43:J43"/>
    <mergeCell ref="C42:J42"/>
    <mergeCell ref="C41:J41"/>
    <mergeCell ref="B38:J38"/>
    <mergeCell ref="B2:J2"/>
  </mergeCells>
  <conditionalFormatting sqref="H6:H9">
    <cfRule type="dataBar" priority="2">
      <dataBar minLength="10" maxLength="90" showValue="1">
        <cfvo type="min" val="0"/>
        <cfvo type="max" val="0"/>
        <color rgb="FF4A90D9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22" customWidth="1" style="56" min="2" max="2"/>
    <col width="14" customWidth="1" style="56" min="3" max="3"/>
    <col width="18" customWidth="1" style="56" min="4" max="5"/>
    <col width="14" customWidth="1" style="56" min="6" max="6"/>
    <col width="18" customWidth="1" style="56" min="7" max="8"/>
    <col width="16" customWidth="1" style="56" min="9" max="9"/>
    <col width="45" customWidth="1" style="56" min="10" max="10"/>
  </cols>
  <sheetData>
    <row r="1"/>
    <row r="2" ht="31.5" customHeight="1" s="57">
      <c r="B2" s="74" t="inlineStr">
        <is>
          <t>African Language Coverage Across Major Benchmark Datasets</t>
        </is>
      </c>
    </row>
    <row r="3" ht="21.75" customHeight="1" s="57">
      <c r="B3" s="75" t="inlineStr">
        <is>
          <t>Quantitative evidence of dataset imbalance across major African NLP corpora (Table 3 in main paper)</t>
        </is>
      </c>
    </row>
    <row r="4"/>
    <row r="5" ht="31.5" customHeight="1" s="57">
      <c r="B5" s="80" t="inlineStr">
        <is>
          <t>Language</t>
        </is>
      </c>
      <c r="C5" s="80" t="inlineStr">
        <is>
          <t>ISO Code</t>
        </is>
      </c>
      <c r="D5" s="80" t="inlineStr">
        <is>
          <t>AfriSenti (tweets)</t>
        </is>
      </c>
      <c r="E5" s="80" t="inlineStr">
        <is>
          <t>MasakhaNER 2.0 (tokens)</t>
        </is>
      </c>
      <c r="F5" s="80" t="inlineStr">
        <is>
          <t>AfroLM (23 langs)</t>
        </is>
      </c>
      <c r="G5" s="80" t="inlineStr">
        <is>
          <t>NLLB-200</t>
        </is>
      </c>
      <c r="H5" s="80" t="inlineStr">
        <is>
          <t>Common Voice v18</t>
        </is>
      </c>
      <c r="I5" s="80" t="inlineStr">
        <is>
          <t>Status</t>
        </is>
      </c>
      <c r="J5" s="80" t="inlineStr">
        <is>
          <t>Notes</t>
        </is>
      </c>
    </row>
    <row r="6" ht="31.5" customHeight="1" s="57">
      <c r="B6" s="81" t="inlineStr">
        <is>
          <t>Hausa</t>
        </is>
      </c>
      <c r="C6" s="82" t="inlineStr">
        <is>
          <t>hau</t>
        </is>
      </c>
      <c r="D6" s="82" t="inlineStr">
        <is>
          <t>22,155 (20.0%)</t>
        </is>
      </c>
      <c r="E6" s="82" t="inlineStr">
        <is>
          <t>221,086 (5.95%)</t>
        </is>
      </c>
      <c r="F6" s="82" t="inlineStr">
        <is>
          <t>Yes</t>
        </is>
      </c>
      <c r="G6" s="82" t="inlineStr">
        <is>
          <t>Yes</t>
        </is>
      </c>
      <c r="H6" s="82" t="inlineStr">
        <is>
          <t>Yes</t>
        </is>
      </c>
      <c r="I6" s="92" t="inlineStr">
        <is>
          <t>Repeated</t>
        </is>
      </c>
      <c r="J6" s="83" t="inlineStr">
        <is>
          <t>Largest AfriSenti corpus; strong across all benchmarks</t>
        </is>
      </c>
    </row>
    <row r="7" ht="31.5" customHeight="1" s="57">
      <c r="B7" s="81" t="inlineStr">
        <is>
          <t>Yoruba</t>
        </is>
      </c>
      <c r="C7" s="82" t="inlineStr">
        <is>
          <t>yor</t>
        </is>
      </c>
      <c r="D7" s="82" t="inlineStr">
        <is>
          <t>15,130 (13.7%)</t>
        </is>
      </c>
      <c r="E7" s="82" t="inlineStr">
        <is>
          <t>244,144 (6.57%)</t>
        </is>
      </c>
      <c r="F7" s="82" t="inlineStr">
        <is>
          <t>Yes</t>
        </is>
      </c>
      <c r="G7" s="82" t="inlineStr">
        <is>
          <t>Yes</t>
        </is>
      </c>
      <c r="H7" s="82" t="inlineStr">
        <is>
          <t>Yes</t>
        </is>
      </c>
      <c r="I7" s="92" t="inlineStr">
        <is>
          <t>Repeated</t>
        </is>
      </c>
      <c r="J7" s="83" t="inlineStr">
        <is>
          <t>Strong NER representation; consistent coverage</t>
        </is>
      </c>
    </row>
    <row r="8" ht="31.5" customHeight="1" s="57">
      <c r="B8" s="81" t="inlineStr">
        <is>
          <t>Igbo</t>
        </is>
      </c>
      <c r="C8" s="82" t="inlineStr">
        <is>
          <t>ibo</t>
        </is>
      </c>
      <c r="D8" s="82" t="inlineStr">
        <is>
          <t>15,718 (14.2%)</t>
        </is>
      </c>
      <c r="E8" s="82" t="inlineStr">
        <is>
          <t>344,095 (9.27%)</t>
        </is>
      </c>
      <c r="F8" s="82" t="inlineStr">
        <is>
          <t>Yes</t>
        </is>
      </c>
      <c r="G8" s="82" t="inlineStr">
        <is>
          <t>Yes</t>
        </is>
      </c>
      <c r="H8" s="82" t="inlineStr">
        <is>
          <t>Yes</t>
        </is>
      </c>
      <c r="I8" s="92" t="inlineStr">
        <is>
          <t>Repeated</t>
        </is>
      </c>
      <c r="J8" s="83" t="inlineStr">
        <is>
          <t>Largest MasakhaNER share; well-represented</t>
        </is>
      </c>
    </row>
    <row r="9" ht="31.5" customHeight="1" s="57">
      <c r="B9" s="81" t="inlineStr">
        <is>
          <t>Swahili</t>
        </is>
      </c>
      <c r="C9" s="82" t="inlineStr">
        <is>
          <t>swa</t>
        </is>
      </c>
      <c r="D9" s="82" t="inlineStr">
        <is>
          <t>4,821 (4.4%)</t>
        </is>
      </c>
      <c r="E9" s="82" t="inlineStr">
        <is>
          <t>251,678 (6.78%)</t>
        </is>
      </c>
      <c r="F9" s="82" t="inlineStr">
        <is>
          <t>Yes</t>
        </is>
      </c>
      <c r="G9" s="82" t="inlineStr">
        <is>
          <t>Yes</t>
        </is>
      </c>
      <c r="H9" s="82" t="inlineStr">
        <is>
          <t>Yes</t>
        </is>
      </c>
      <c r="I9" s="92" t="inlineStr">
        <is>
          <t>Repeated</t>
        </is>
      </c>
      <c r="J9" s="83" t="inlineStr">
        <is>
          <t>Major lingua franca; broad but not deep coverage</t>
        </is>
      </c>
    </row>
    <row r="10" ht="31.5" customHeight="1" s="57">
      <c r="B10" s="81" t="inlineStr">
        <is>
          <t>Amharic</t>
        </is>
      </c>
      <c r="C10" s="82" t="inlineStr">
        <is>
          <t>amh</t>
        </is>
      </c>
      <c r="D10" s="82" t="inlineStr">
        <is>
          <t>9,483 (8.6%)</t>
        </is>
      </c>
      <c r="E10" s="82" t="inlineStr">
        <is>
          <t>---</t>
        </is>
      </c>
      <c r="F10" s="82" t="inlineStr">
        <is>
          <t>Yes</t>
        </is>
      </c>
      <c r="G10" s="82" t="inlineStr">
        <is>
          <t>Yes</t>
        </is>
      </c>
      <c r="H10" s="82" t="inlineStr">
        <is>
          <t>Yes</t>
        </is>
      </c>
      <c r="I10" s="92" t="inlineStr">
        <is>
          <t>Repeated</t>
        </is>
      </c>
      <c r="J10" s="83" t="inlineStr">
        <is>
          <t>Ge'ez script; major Ethiopian language</t>
        </is>
      </c>
    </row>
    <row r="11" ht="31.5" customHeight="1" s="57">
      <c r="B11" s="81" t="inlineStr">
        <is>
          <t>Somali</t>
        </is>
      </c>
      <c r="C11" s="82" t="inlineStr">
        <is>
          <t>som</t>
        </is>
      </c>
      <c r="D11" s="82" t="inlineStr">
        <is>
          <t>---</t>
        </is>
      </c>
      <c r="E11" s="82" t="inlineStr">
        <is>
          <t>---</t>
        </is>
      </c>
      <c r="F11" s="82" t="inlineStr">
        <is>
          <t>Yes</t>
        </is>
      </c>
      <c r="G11" s="82" t="inlineStr">
        <is>
          <t>Yes</t>
        </is>
      </c>
      <c r="H11" s="82" t="inlineStr">
        <is>
          <t>---</t>
        </is>
      </c>
      <c r="I11" s="92" t="inlineStr">
        <is>
          <t>Repeated</t>
        </is>
      </c>
      <c r="J11" s="83" t="inlineStr">
        <is>
          <t>Afro-Asiatic; NLLB+AfroLM but no AfriSenti/MasakhaNER</t>
        </is>
      </c>
    </row>
    <row r="12" ht="31.5" customHeight="1" s="57">
      <c r="B12" s="81" t="inlineStr">
        <is>
          <t>Zulu</t>
        </is>
      </c>
      <c r="C12" s="82" t="inlineStr">
        <is>
          <t>zu</t>
        </is>
      </c>
      <c r="D12" s="82" t="inlineStr">
        <is>
          <t>---</t>
        </is>
      </c>
      <c r="E12" s="82" t="inlineStr">
        <is>
          <t>---</t>
        </is>
      </c>
      <c r="F12" s="82" t="inlineStr">
        <is>
          <t>Yes</t>
        </is>
      </c>
      <c r="G12" s="82" t="inlineStr">
        <is>
          <t>Yes</t>
        </is>
      </c>
      <c r="H12" s="82" t="inlineStr">
        <is>
          <t>Yes</t>
        </is>
      </c>
      <c r="I12" s="92" t="inlineStr">
        <is>
          <t>Repeated</t>
        </is>
      </c>
      <c r="J12" s="83" t="inlineStr">
        <is>
          <t>Nguni Bantu; South African major language</t>
        </is>
      </c>
    </row>
    <row r="13" ht="31.5" customHeight="1" s="57">
      <c r="B13" s="81" t="inlineStr">
        <is>
          <t>Xhosa</t>
        </is>
      </c>
      <c r="C13" s="82" t="inlineStr">
        <is>
          <t>xh</t>
        </is>
      </c>
      <c r="D13" s="82" t="inlineStr">
        <is>
          <t>---</t>
        </is>
      </c>
      <c r="E13" s="82" t="inlineStr">
        <is>
          <t>---</t>
        </is>
      </c>
      <c r="F13" s="82" t="inlineStr">
        <is>
          <t>Yes</t>
        </is>
      </c>
      <c r="G13" s="82" t="inlineStr">
        <is>
          <t>Yes</t>
        </is>
      </c>
      <c r="H13" s="82" t="inlineStr">
        <is>
          <t>Yes (new)</t>
        </is>
      </c>
      <c r="I13" s="92" t="inlineStr">
        <is>
          <t>Repeated</t>
        </is>
      </c>
      <c r="J13" s="83" t="inlineStr">
        <is>
          <t>Nguni Bantu; click consonants; Common Voice v18 addition</t>
        </is>
      </c>
    </row>
    <row r="14" ht="7.5" customHeight="1" s="57">
      <c r="B14" s="93" t="n"/>
      <c r="C14" s="82" t="n"/>
      <c r="D14" s="82" t="n"/>
      <c r="E14" s="82" t="n"/>
      <c r="F14" s="82" t="n"/>
      <c r="G14" s="82" t="n"/>
      <c r="H14" s="82" t="n"/>
      <c r="I14" s="94" t="n"/>
      <c r="J14" s="83" t="n"/>
    </row>
    <row r="15" ht="31.5" customHeight="1" s="57">
      <c r="B15" s="93" t="inlineStr">
        <is>
          <t>Fulfulde/Pulaar</t>
        </is>
      </c>
      <c r="C15" s="82" t="inlineStr">
        <is>
          <t>fuc/fuf</t>
        </is>
      </c>
      <c r="D15" s="82" t="inlineStr">
        <is>
          <t>---</t>
        </is>
      </c>
      <c r="E15" s="82" t="inlineStr">
        <is>
          <t>---</t>
        </is>
      </c>
      <c r="F15" s="82" t="inlineStr">
        <is>
          <t>---</t>
        </is>
      </c>
      <c r="G15" s="82" t="inlineStr">
        <is>
          <t>---</t>
        </is>
      </c>
      <c r="H15" s="82" t="inlineStr">
        <is>
          <t>---</t>
        </is>
      </c>
      <c r="I15" s="95" t="inlineStr">
        <is>
          <t>Missing</t>
        </is>
      </c>
      <c r="J15" s="83" t="inlineStr">
        <is>
          <t>Widespread across Sahel; no major benchmark coverage</t>
        </is>
      </c>
    </row>
    <row r="16" ht="31.5" customHeight="1" s="57">
      <c r="B16" s="93" t="inlineStr">
        <is>
          <t>Bambara</t>
        </is>
      </c>
      <c r="C16" s="82" t="inlineStr">
        <is>
          <t>bam</t>
        </is>
      </c>
      <c r="D16" s="82" t="inlineStr">
        <is>
          <t>---</t>
        </is>
      </c>
      <c r="E16" s="82" t="inlineStr">
        <is>
          <t>---</t>
        </is>
      </c>
      <c r="F16" s="82" t="inlineStr">
        <is>
          <t>Yes</t>
        </is>
      </c>
      <c r="G16" s="82" t="inlineStr">
        <is>
          <t>---</t>
        </is>
      </c>
      <c r="H16" s="82" t="inlineStr">
        <is>
          <t>---</t>
        </is>
      </c>
      <c r="I16" s="96" t="inlineStr">
        <is>
          <t>Sparse</t>
        </is>
      </c>
      <c r="J16" s="83" t="inlineStr">
        <is>
          <t>Major Mande language; AfroLM only</t>
        </is>
      </c>
    </row>
    <row r="17" ht="31.5" customHeight="1" s="57">
      <c r="B17" s="93" t="inlineStr">
        <is>
          <t>Lingala</t>
        </is>
      </c>
      <c r="C17" s="82" t="inlineStr">
        <is>
          <t>lin</t>
        </is>
      </c>
      <c r="D17" s="82" t="inlineStr">
        <is>
          <t>---</t>
        </is>
      </c>
      <c r="E17" s="82" t="inlineStr">
        <is>
          <t>---</t>
        </is>
      </c>
      <c r="F17" s="82" t="inlineStr">
        <is>
          <t>Yes</t>
        </is>
      </c>
      <c r="G17" s="82" t="inlineStr">
        <is>
          <t>---</t>
        </is>
      </c>
      <c r="H17" s="82" t="inlineStr">
        <is>
          <t>---</t>
        </is>
      </c>
      <c r="I17" s="96" t="inlineStr">
        <is>
          <t>Sparse</t>
        </is>
      </c>
      <c r="J17" s="83" t="inlineStr">
        <is>
          <t>Bantu lingua franca; AfroLM only</t>
        </is>
      </c>
    </row>
    <row r="18" ht="31.5" customHeight="1" s="57">
      <c r="B18" s="93" t="inlineStr">
        <is>
          <t>Ewe</t>
        </is>
      </c>
      <c r="C18" s="82" t="inlineStr">
        <is>
          <t>ewe</t>
        </is>
      </c>
      <c r="D18" s="82" t="inlineStr">
        <is>
          <t>---</t>
        </is>
      </c>
      <c r="E18" s="82" t="inlineStr">
        <is>
          <t>---</t>
        </is>
      </c>
      <c r="F18" s="82" t="inlineStr">
        <is>
          <t>Yes</t>
        </is>
      </c>
      <c r="G18" s="82" t="inlineStr">
        <is>
          <t>---</t>
        </is>
      </c>
      <c r="H18" s="82" t="inlineStr">
        <is>
          <t>---</t>
        </is>
      </c>
      <c r="I18" s="96" t="inlineStr">
        <is>
          <t>Sparse</t>
        </is>
      </c>
      <c r="J18" s="83" t="inlineStr">
        <is>
          <t>Ghana/Togo Kwa language; AfroLM only</t>
        </is>
      </c>
    </row>
    <row r="19" ht="31.5" customHeight="1" s="57">
      <c r="B19" s="93" t="inlineStr">
        <is>
          <t>Fon</t>
        </is>
      </c>
      <c r="C19" s="82" t="inlineStr">
        <is>
          <t>fon</t>
        </is>
      </c>
      <c r="D19" s="82" t="inlineStr">
        <is>
          <t>---</t>
        </is>
      </c>
      <c r="E19" s="82" t="inlineStr">
        <is>
          <t>---</t>
        </is>
      </c>
      <c r="F19" s="82" t="inlineStr">
        <is>
          <t>Yes</t>
        </is>
      </c>
      <c r="G19" s="82" t="inlineStr">
        <is>
          <t>---</t>
        </is>
      </c>
      <c r="H19" s="82" t="inlineStr">
        <is>
          <t>---</t>
        </is>
      </c>
      <c r="I19" s="96" t="inlineStr">
        <is>
          <t>Sparse</t>
        </is>
      </c>
      <c r="J19" s="83" t="inlineStr">
        <is>
          <t>Benin/Nigeria Kwa language; AfroLM only</t>
        </is>
      </c>
    </row>
    <row r="20" ht="31.5" customHeight="1" s="57">
      <c r="B20" s="93" t="inlineStr">
        <is>
          <t>Luganda</t>
        </is>
      </c>
      <c r="C20" s="82" t="inlineStr">
        <is>
          <t>lug</t>
        </is>
      </c>
      <c r="D20" s="82" t="inlineStr">
        <is>
          <t>---</t>
        </is>
      </c>
      <c r="E20" s="82" t="inlineStr">
        <is>
          <t>---</t>
        </is>
      </c>
      <c r="F20" s="82" t="inlineStr">
        <is>
          <t>Yes</t>
        </is>
      </c>
      <c r="G20" s="82" t="inlineStr">
        <is>
          <t>---</t>
        </is>
      </c>
      <c r="H20" s="82" t="inlineStr">
        <is>
          <t>Yes (text)</t>
        </is>
      </c>
      <c r="I20" s="96" t="inlineStr">
        <is>
          <t>Sparse</t>
        </is>
      </c>
      <c r="J20" s="83" t="inlineStr">
        <is>
          <t>Uganda Bantu; AfroLM + text CV only</t>
        </is>
      </c>
    </row>
    <row r="21" ht="31.5" customHeight="1" s="57">
      <c r="B21" s="93" t="inlineStr">
        <is>
          <t>Tigrinya</t>
        </is>
      </c>
      <c r="C21" s="82" t="inlineStr">
        <is>
          <t>tir</t>
        </is>
      </c>
      <c r="D21" s="82" t="inlineStr">
        <is>
          <t>2,400 (2.2%)</t>
        </is>
      </c>
      <c r="E21" s="82" t="inlineStr">
        <is>
          <t>---</t>
        </is>
      </c>
      <c r="F21" s="82" t="inlineStr">
        <is>
          <t>---</t>
        </is>
      </c>
      <c r="G21" s="82" t="inlineStr">
        <is>
          <t>---</t>
        </is>
      </c>
      <c r="H21" s="82" t="inlineStr">
        <is>
          <t>---</t>
        </is>
      </c>
      <c r="I21" s="96" t="inlineStr">
        <is>
          <t>Sparse</t>
        </is>
      </c>
      <c r="J21" s="83" t="inlineStr">
        <is>
          <t>Horn of Africa; small AfriSenti only</t>
        </is>
      </c>
    </row>
    <row r="22" ht="31.5" customHeight="1" s="57">
      <c r="B22" s="93" t="inlineStr">
        <is>
          <t>Wolof</t>
        </is>
      </c>
      <c r="C22" s="82" t="inlineStr">
        <is>
          <t>wol</t>
        </is>
      </c>
      <c r="D22" s="82" t="inlineStr">
        <is>
          <t>---</t>
        </is>
      </c>
      <c r="E22" s="82" t="inlineStr">
        <is>
          <t>---</t>
        </is>
      </c>
      <c r="F22" s="82" t="inlineStr">
        <is>
          <t>Yes</t>
        </is>
      </c>
      <c r="G22" s="82" t="inlineStr">
        <is>
          <t>Yes</t>
        </is>
      </c>
      <c r="H22" s="82" t="inlineStr">
        <is>
          <t>---</t>
        </is>
      </c>
      <c r="I22" s="96" t="inlineStr">
        <is>
          <t>Sparse</t>
        </is>
      </c>
      <c r="J22" s="83" t="inlineStr">
        <is>
          <t>Senegal lingua franca; no speech data</t>
        </is>
      </c>
    </row>
    <row r="23"/>
    <row r="24" ht="25.5" customHeight="1" s="57">
      <c r="B24" s="76" t="inlineStr">
        <is>
          <t>COVERAGE SUMMARY STATISTICS</t>
        </is>
      </c>
    </row>
    <row r="25" ht="24" customHeight="1" s="57">
      <c r="B25" s="65" t="inlineStr">
        <is>
          <t>Metric</t>
        </is>
      </c>
      <c r="C25" s="65" t="inlineStr">
        <is>
          <t>Value</t>
        </is>
      </c>
      <c r="D25" s="67" t="n"/>
    </row>
    <row r="26" ht="27.75" customHeight="1" s="57">
      <c r="B26" s="97" t="inlineStr">
        <is>
          <t>Languages with Repeated coverage (4+ corpora)</t>
        </is>
      </c>
      <c r="C26" s="78" t="inlineStr">
        <is>
          <t>8 of ~2,000</t>
        </is>
      </c>
      <c r="D26" s="67" t="n"/>
      <c r="E26" s="98" t="inlineStr">
        <is>
          <t>0.4% of estimated African languages</t>
        </is>
      </c>
      <c r="F26" s="66" t="n"/>
      <c r="G26" s="66" t="n"/>
      <c r="H26" s="66" t="n"/>
      <c r="I26" s="66" t="n"/>
      <c r="J26" s="67" t="n"/>
    </row>
    <row r="27" ht="27.75" customHeight="1" s="57">
      <c r="B27" s="97" t="inlineStr">
        <is>
          <t>Languages with Sparse coverage (1-2 corpora)</t>
        </is>
      </c>
      <c r="C27" s="78" t="inlineStr">
        <is>
          <t>9 of ~2,000</t>
        </is>
      </c>
      <c r="D27" s="67" t="n"/>
      <c r="E27" s="98" t="inlineStr">
        <is>
          <t>Additional 0.45% with minimal representation</t>
        </is>
      </c>
      <c r="F27" s="66" t="n"/>
      <c r="G27" s="66" t="n"/>
      <c r="H27" s="66" t="n"/>
      <c r="I27" s="66" t="n"/>
      <c r="J27" s="67" t="n"/>
    </row>
    <row r="28" ht="27.75" customHeight="1" s="57">
      <c r="B28" s="97" t="inlineStr">
        <is>
          <t>Languages with Missing coverage</t>
        </is>
      </c>
      <c r="C28" s="78" t="inlineStr">
        <is>
          <t>~1,983 of ~2,000</t>
        </is>
      </c>
      <c r="D28" s="67" t="n"/>
      <c r="E28" s="98" t="inlineStr">
        <is>
          <t>99.15% have no benchmark representation</t>
        </is>
      </c>
      <c r="F28" s="66" t="n"/>
      <c r="G28" s="66" t="n"/>
      <c r="H28" s="66" t="n"/>
      <c r="I28" s="66" t="n"/>
      <c r="J28" s="67" t="n"/>
    </row>
    <row r="29" ht="27.75" customHeight="1" s="57">
      <c r="B29" s="97" t="inlineStr">
        <is>
          <t>AfriSenti language coverage</t>
        </is>
      </c>
      <c r="C29" s="78" t="inlineStr">
        <is>
          <t>14 languages</t>
        </is>
      </c>
      <c r="D29" s="67" t="n"/>
      <c r="E29" s="98" t="inlineStr">
        <is>
          <t>Largest sentiment corpus; still &lt;1% of African languages</t>
        </is>
      </c>
      <c r="F29" s="66" t="n"/>
      <c r="G29" s="66" t="n"/>
      <c r="H29" s="66" t="n"/>
      <c r="I29" s="66" t="n"/>
      <c r="J29" s="67" t="n"/>
    </row>
    <row r="30" ht="27.75" customHeight="1" s="57">
      <c r="B30" s="97" t="inlineStr">
        <is>
          <t>MasakhaNER 2.0 coverage</t>
        </is>
      </c>
      <c r="C30" s="78" t="inlineStr">
        <is>
          <t>20 languages</t>
        </is>
      </c>
      <c r="D30" s="67" t="n"/>
      <c r="E30" s="98" t="inlineStr">
        <is>
          <t>Largest human-annotated NER dataset</t>
        </is>
      </c>
      <c r="F30" s="66" t="n"/>
      <c r="G30" s="66" t="n"/>
      <c r="H30" s="66" t="n"/>
      <c r="I30" s="66" t="n"/>
      <c r="J30" s="67" t="n"/>
    </row>
    <row r="31" ht="27.75" customHeight="1" s="57">
      <c r="B31" s="97" t="inlineStr">
        <is>
          <t>NLLB-200 African languages</t>
        </is>
      </c>
      <c r="C31" s="78" t="inlineStr">
        <is>
          <t>55 languages</t>
        </is>
      </c>
      <c r="D31" s="67" t="n"/>
      <c r="E31" s="98" t="inlineStr">
        <is>
          <t>~2.75% of African linguistic diversity</t>
        </is>
      </c>
      <c r="F31" s="66" t="n"/>
      <c r="G31" s="66" t="n"/>
      <c r="H31" s="66" t="n"/>
      <c r="I31" s="66" t="n"/>
      <c r="J31" s="67" t="n"/>
    </row>
    <row r="32" ht="27.75" customHeight="1" s="57">
      <c r="B32" s="97" t="inlineStr">
        <is>
          <t>Sahara benchmark coverage</t>
        </is>
      </c>
      <c r="C32" s="78" t="inlineStr">
        <is>
          <t>517 languages</t>
        </is>
      </c>
      <c r="D32" s="67" t="n"/>
      <c r="E32" s="98" t="inlineStr">
        <is>
          <t>Widest coverage but still excludes ~75% of languages</t>
        </is>
      </c>
      <c r="F32" s="66" t="n"/>
      <c r="G32" s="66" t="n"/>
      <c r="H32" s="66" t="n"/>
      <c r="I32" s="66" t="n"/>
      <c r="J32" s="67" t="n"/>
    </row>
    <row r="33" ht="27.75" customHeight="1" s="57">
      <c r="B33" s="97" t="inlineStr">
        <is>
          <t>AfroLM pretraining coverage</t>
        </is>
      </c>
      <c r="C33" s="78" t="inlineStr">
        <is>
          <t>23 languages</t>
        </is>
      </c>
      <c r="D33" s="67" t="n"/>
      <c r="E33" s="98" t="inlineStr">
        <is>
          <t>Self-active learning multilingual model</t>
        </is>
      </c>
      <c r="F33" s="66" t="n"/>
      <c r="G33" s="66" t="n"/>
      <c r="H33" s="66" t="n"/>
      <c r="I33" s="66" t="n"/>
      <c r="J33" s="67" t="n"/>
    </row>
    <row r="34"/>
    <row r="35" ht="25.5" customHeight="1" s="57">
      <c r="B35" s="76" t="inlineStr">
        <is>
          <t>SOURCES</t>
        </is>
      </c>
    </row>
    <row r="36" ht="19.5" customHeight="1" s="57">
      <c r="B36" s="99" t="inlineStr">
        <is>
          <t>AfriSenti-Twitter: HausaNLP, 2023. https://huggingface.co/datasets/HausaNLP/AfriSenti-Twitter</t>
        </is>
      </c>
    </row>
    <row r="37" ht="19.5" customHeight="1" s="57">
      <c r="B37" s="99" t="inlineStr">
        <is>
          <t>MasakhaNER 2.0: Adelani et al., 2022. arXiv:2210.12391</t>
        </is>
      </c>
    </row>
    <row r="38" ht="19.5" customHeight="1" s="57">
      <c r="B38" s="99" t="inlineStr">
        <is>
          <t>AfroLM: Dossou et al., 2022. EMNLP Workshop.</t>
        </is>
      </c>
    </row>
    <row r="39" ht="19.5" customHeight="1" s="57">
      <c r="B39" s="99" t="inlineStr">
        <is>
          <t>NLLB-200: NLLB Team, 2022. arXiv:2207.04672 / Nature 630:841-846, 2024.</t>
        </is>
      </c>
    </row>
    <row r="40" ht="19.5" customHeight="1" s="57">
      <c r="B40" s="99" t="inlineStr">
        <is>
          <t>Common Voice v18: Mozilla Foundation, 2024.</t>
        </is>
      </c>
    </row>
    <row r="41" ht="19.5" customHeight="1" s="57">
      <c r="B41" s="99" t="inlineStr">
        <is>
          <t>Sahara Benchmark: Sahara Benchmark team, 2025.</t>
        </is>
      </c>
    </row>
  </sheetData>
  <mergeCells count="27">
    <mergeCell ref="C30:D30"/>
    <mergeCell ref="E28:J28"/>
    <mergeCell ref="C33:D33"/>
    <mergeCell ref="E31:J31"/>
    <mergeCell ref="C26:D26"/>
    <mergeCell ref="E30:J30"/>
    <mergeCell ref="B38:J38"/>
    <mergeCell ref="C29:D29"/>
    <mergeCell ref="B37:J37"/>
    <mergeCell ref="C25:D25"/>
    <mergeCell ref="E27:J27"/>
    <mergeCell ref="B40:J40"/>
    <mergeCell ref="E26:J26"/>
    <mergeCell ref="C31:D31"/>
    <mergeCell ref="B24:J24"/>
    <mergeCell ref="E29:J29"/>
    <mergeCell ref="E32:J32"/>
    <mergeCell ref="B36:J36"/>
    <mergeCell ref="C27:D27"/>
    <mergeCell ref="B41:J41"/>
    <mergeCell ref="B35:J35"/>
    <mergeCell ref="E33:J33"/>
    <mergeCell ref="B3:J3"/>
    <mergeCell ref="C32:D32"/>
    <mergeCell ref="C28:D28"/>
    <mergeCell ref="B39:J39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18" customWidth="1" style="56" min="2" max="2"/>
    <col width="25" customWidth="1" style="56" min="3" max="3"/>
    <col width="40" customWidth="1" style="56" min="4" max="4"/>
    <col width="15" customWidth="1" style="56" min="5" max="5"/>
    <col width="20" customWidth="1" style="56" min="6" max="6"/>
    <col width="40" customWidth="1" style="56" min="7" max="7"/>
  </cols>
  <sheetData>
    <row r="1"/>
    <row r="2" ht="31.5" customHeight="1" s="57">
      <c r="B2" s="74" t="inlineStr">
        <is>
          <t>CPST Field Assessment Template</t>
        </is>
      </c>
    </row>
    <row r="3" ht="21.75" customHeight="1" s="57">
      <c r="B3" s="75" t="inlineStr">
        <is>
          <t>Use this template to conduct new CPST assessments. Complete one template per language/initiative.</t>
        </is>
      </c>
    </row>
    <row r="4"/>
    <row r="5" ht="25.5" customHeight="1" s="57">
      <c r="B5" s="76" t="inlineStr">
        <is>
          <t>ASSESSMENT METADATA</t>
        </is>
      </c>
    </row>
    <row r="6" ht="25.5" customHeight="1" s="57">
      <c r="B6" s="100" t="inlineStr">
        <is>
          <t>Language Name:</t>
        </is>
      </c>
      <c r="C6" s="101" t="n"/>
      <c r="D6" s="67" t="n"/>
      <c r="E6" s="100" t="inlineStr">
        <is>
          <t>ISO 639-3 Code:</t>
        </is>
      </c>
      <c r="F6" s="101" t="n"/>
      <c r="G6" s="67" t="n"/>
    </row>
    <row r="7" ht="25.5" customHeight="1" s="57">
      <c r="B7" s="100" t="inlineStr">
        <is>
          <t>Country/Region:</t>
        </is>
      </c>
      <c r="C7" s="101" t="n"/>
      <c r="D7" s="67" t="n"/>
      <c r="E7" s="100" t="inlineStr">
        <is>
          <t>Assessment Date:</t>
        </is>
      </c>
      <c r="F7" s="101" t="n"/>
      <c r="G7" s="67" t="n"/>
    </row>
    <row r="8" ht="25.5" customHeight="1" s="57">
      <c r="B8" s="100" t="inlineStr">
        <is>
          <t>Assessor Name(s):</t>
        </is>
      </c>
      <c r="C8" s="101" t="n"/>
      <c r="D8" s="67" t="n"/>
      <c r="E8" s="100" t="inlineStr">
        <is>
          <t>Institution:</t>
        </is>
      </c>
      <c r="F8" s="101" t="n"/>
      <c r="G8" s="67" t="n"/>
    </row>
    <row r="9" ht="25.5" customHeight="1" s="57">
      <c r="B9" s="100" t="inlineStr">
        <is>
          <t>Initiative/Project Name:</t>
        </is>
      </c>
      <c r="C9" s="101" t="n"/>
      <c r="D9" s="67" t="n"/>
      <c r="E9" s="100" t="inlineStr">
        <is>
          <t>Project URL:</t>
        </is>
      </c>
      <c r="F9" s="101" t="n"/>
      <c r="G9" s="67" t="n"/>
    </row>
    <row r="10" ht="25.5" customHeight="1" s="57">
      <c r="B10" s="100" t="inlineStr">
        <is>
          <t>Number of Sources:</t>
        </is>
      </c>
      <c r="C10" s="101" t="n"/>
      <c r="D10" s="67" t="n"/>
      <c r="E10" s="100" t="inlineStr">
        <is>
          <t>Source Types:</t>
        </is>
      </c>
      <c r="F10" s="101" t="n"/>
      <c r="G10" s="67" t="n"/>
    </row>
    <row r="11"/>
    <row r="12" ht="27.75" customHeight="1" s="57">
      <c r="B12" s="102" t="inlineStr">
        <is>
          <t>RATING INSTRUCTIONS: Rate each criterion on a scale of 1 (Not addressed) to 6 (Strong). Use the CPST Rating Rubric sheet for detailed criteria.</t>
        </is>
      </c>
    </row>
    <row r="13"/>
    <row r="14" ht="25.5" customHeight="1" s="57">
      <c r="B14" s="79" t="inlineStr">
        <is>
          <t>DIMENSION 1: CYBER (Digital Infrastructure)</t>
        </is>
      </c>
    </row>
    <row r="15" ht="27.75" customHeight="1" s="57">
      <c r="B15" s="80" t="inlineStr">
        <is>
          <t>Criterion</t>
        </is>
      </c>
      <c r="C15" s="80" t="inlineStr">
        <is>
          <t>Weight</t>
        </is>
      </c>
      <c r="D15" s="80" t="inlineStr">
        <is>
          <t>Evidence Found</t>
        </is>
      </c>
      <c r="E15" s="80" t="inlineStr">
        <is>
          <t>Rating (1-6)</t>
        </is>
      </c>
      <c r="F15" s="80" t="inlineStr">
        <is>
          <t>Score</t>
        </is>
      </c>
      <c r="G15" s="80" t="inlineStr">
        <is>
          <t>Notes / Source URLs</t>
        </is>
      </c>
    </row>
    <row r="16" ht="31.5" customHeight="1" s="57">
      <c r="B16" s="97" t="inlineStr">
        <is>
          <t>Digital Corpora</t>
        </is>
      </c>
      <c r="C16" s="78" t="inlineStr">
        <is>
          <t>25%</t>
        </is>
      </c>
      <c r="D16" s="78" t="n"/>
      <c r="E16" s="78" t="n"/>
      <c r="F16" s="103">
        <f>IF(E16="","",E16*VALUE(SUBSTITUTE(C16,"%",""))/100)</f>
        <v/>
      </c>
      <c r="G16" s="98" t="n"/>
    </row>
    <row r="17" ht="31.5" customHeight="1" s="57">
      <c r="B17" s="97" t="inlineStr">
        <is>
          <t>Language Models</t>
        </is>
      </c>
      <c r="C17" s="78" t="inlineStr">
        <is>
          <t>25%</t>
        </is>
      </c>
      <c r="D17" s="78" t="n"/>
      <c r="E17" s="78" t="n"/>
      <c r="F17" s="103">
        <f>IF(E17="","",E17*VALUE(SUBSTITUTE(C17,"%",""))/100)</f>
        <v/>
      </c>
      <c r="G17" s="98" t="n"/>
    </row>
    <row r="18" ht="31.5" customHeight="1" s="57">
      <c r="B18" s="97" t="inlineStr">
        <is>
          <t>Machine Translation</t>
        </is>
      </c>
      <c r="C18" s="78" t="inlineStr">
        <is>
          <t>15%</t>
        </is>
      </c>
      <c r="D18" s="78" t="n"/>
      <c r="E18" s="78" t="n"/>
      <c r="F18" s="103">
        <f>IF(E18="","",E18*VALUE(SUBSTITUTE(C18,"%",""))/100)</f>
        <v/>
      </c>
      <c r="G18" s="98" t="n"/>
    </row>
    <row r="19" ht="31.5" customHeight="1" s="57">
      <c r="B19" s="97" t="inlineStr">
        <is>
          <t>Speech Technology</t>
        </is>
      </c>
      <c r="C19" s="78" t="inlineStr">
        <is>
          <t>15%</t>
        </is>
      </c>
      <c r="D19" s="78" t="n"/>
      <c r="E19" s="78" t="n"/>
      <c r="F19" s="103">
        <f>IF(E19="","",E19*VALUE(SUBSTITUTE(C19,"%",""))/100)</f>
        <v/>
      </c>
      <c r="G19" s="98" t="n"/>
    </row>
    <row r="20" ht="31.5" customHeight="1" s="57">
      <c r="B20" s="97" t="inlineStr">
        <is>
          <t>Benchmarks</t>
        </is>
      </c>
      <c r="C20" s="78" t="inlineStr">
        <is>
          <t>10%</t>
        </is>
      </c>
      <c r="D20" s="78" t="n"/>
      <c r="E20" s="78" t="n"/>
      <c r="F20" s="103">
        <f>IF(E20="","",E20*VALUE(SUBSTITUTE(C20,"%",""))/100)</f>
        <v/>
      </c>
      <c r="G20" s="98" t="n"/>
    </row>
    <row r="21" ht="31.5" customHeight="1" s="57">
      <c r="B21" s="97" t="inlineStr">
        <is>
          <t>APIs &amp; Platforms</t>
        </is>
      </c>
      <c r="C21" s="78" t="inlineStr">
        <is>
          <t>10%</t>
        </is>
      </c>
      <c r="D21" s="78" t="n"/>
      <c r="E21" s="78" t="n"/>
      <c r="F21" s="103">
        <f>IF(E21="","",E21*VALUE(SUBSTITUTE(C21,"%",""))/100)</f>
        <v/>
      </c>
      <c r="G21" s="98" t="n"/>
    </row>
    <row r="22" ht="25.5" customHeight="1" s="57">
      <c r="B22" s="104" t="inlineStr">
        <is>
          <t>CYBER SUBTOTAL</t>
        </is>
      </c>
      <c r="C22" s="105" t="n"/>
      <c r="D22" s="106" t="inlineStr">
        <is>
          <t>Weighted Average:</t>
        </is>
      </c>
      <c r="E22" s="107">
        <f>IF(COUNT(E16:E21)=0,"",ROUND(AVERAGE(E16:E21),1))</f>
        <v/>
      </c>
      <c r="F22" s="108">
        <f>IF(COUNT(F16:F21)=0,"",SUM(F16:F21))</f>
        <v/>
      </c>
      <c r="G22" s="105" t="n"/>
    </row>
    <row r="23"/>
    <row r="24" ht="25.5" customHeight="1" s="57">
      <c r="B24" s="79" t="inlineStr">
        <is>
          <t>DIMENSION 2: PHYSICAL (Tangible Infrastructure)</t>
        </is>
      </c>
    </row>
    <row r="25" ht="27.75" customHeight="1" s="57">
      <c r="B25" s="80" t="inlineStr">
        <is>
          <t>Criterion</t>
        </is>
      </c>
      <c r="C25" s="80" t="inlineStr">
        <is>
          <t>Weight</t>
        </is>
      </c>
      <c r="D25" s="80" t="inlineStr">
        <is>
          <t>Evidence Found</t>
        </is>
      </c>
      <c r="E25" s="80" t="inlineStr">
        <is>
          <t>Rating (1-6)</t>
        </is>
      </c>
      <c r="F25" s="80" t="inlineStr">
        <is>
          <t>Score</t>
        </is>
      </c>
      <c r="G25" s="80" t="inlineStr">
        <is>
          <t>Notes / Source URLs</t>
        </is>
      </c>
    </row>
    <row r="26" ht="31.5" customHeight="1" s="57">
      <c r="B26" s="97" t="inlineStr">
        <is>
          <t>Offline Deployment</t>
        </is>
      </c>
      <c r="C26" s="78" t="inlineStr">
        <is>
          <t>25%</t>
        </is>
      </c>
      <c r="D26" s="78" t="n"/>
      <c r="E26" s="78" t="n"/>
      <c r="F26" s="103">
        <f>IF(E26="","",E26*VALUE(SUBSTITUTE(C26,"%",""))/100)</f>
        <v/>
      </c>
      <c r="G26" s="98" t="n"/>
    </row>
    <row r="27" ht="31.5" customHeight="1" s="57">
      <c r="B27" s="97" t="inlineStr">
        <is>
          <t>Print Materials</t>
        </is>
      </c>
      <c r="C27" s="78" t="inlineStr">
        <is>
          <t>20%</t>
        </is>
      </c>
      <c r="D27" s="78" t="n"/>
      <c r="E27" s="78" t="n"/>
      <c r="F27" s="103">
        <f>IF(E27="","",E27*VALUE(SUBSTITUTE(C27,"%",""))/100)</f>
        <v/>
      </c>
      <c r="G27" s="98" t="n"/>
    </row>
    <row r="28" ht="31.5" customHeight="1" s="57">
      <c r="B28" s="97" t="inlineStr">
        <is>
          <t>Community Radio</t>
        </is>
      </c>
      <c r="C28" s="78" t="inlineStr">
        <is>
          <t>20%</t>
        </is>
      </c>
      <c r="D28" s="78" t="n"/>
      <c r="E28" s="78" t="n"/>
      <c r="F28" s="103">
        <f>IF(E28="","",E28*VALUE(SUBSTITUTE(C28,"%",""))/100)</f>
        <v/>
      </c>
      <c r="G28" s="98" t="n"/>
    </row>
    <row r="29" ht="31.5" customHeight="1" s="57">
      <c r="B29" s="97" t="inlineStr">
        <is>
          <t>Writing Systems</t>
        </is>
      </c>
      <c r="C29" s="78" t="inlineStr">
        <is>
          <t>15%</t>
        </is>
      </c>
      <c r="D29" s="78" t="n"/>
      <c r="E29" s="78" t="n"/>
      <c r="F29" s="103">
        <f>IF(E29="","",E29*VALUE(SUBSTITUTE(C29,"%",""))/100)</f>
        <v/>
      </c>
      <c r="G29" s="98" t="n"/>
    </row>
    <row r="30" ht="31.5" customHeight="1" s="57">
      <c r="B30" s="97" t="inlineStr">
        <is>
          <t>Public Signage</t>
        </is>
      </c>
      <c r="C30" s="78" t="inlineStr">
        <is>
          <t>10%</t>
        </is>
      </c>
      <c r="D30" s="78" t="n"/>
      <c r="E30" s="78" t="n"/>
      <c r="F30" s="103">
        <f>IF(E30="","",E30*VALUE(SUBSTITUTE(C30,"%",""))/100)</f>
        <v/>
      </c>
      <c r="G30" s="98" t="n"/>
    </row>
    <row r="31" ht="31.5" customHeight="1" s="57">
      <c r="B31" s="97" t="inlineStr">
        <is>
          <t>Storage &amp; Archive</t>
        </is>
      </c>
      <c r="C31" s="78" t="inlineStr">
        <is>
          <t>10%</t>
        </is>
      </c>
      <c r="D31" s="78" t="n"/>
      <c r="E31" s="78" t="n"/>
      <c r="F31" s="103">
        <f>IF(E31="","",E31*VALUE(SUBSTITUTE(C31,"%",""))/100)</f>
        <v/>
      </c>
      <c r="G31" s="98" t="n"/>
    </row>
    <row r="32" ht="25.5" customHeight="1" s="57">
      <c r="B32" s="104" t="inlineStr">
        <is>
          <t>PHYSICAL SUBTOTAL</t>
        </is>
      </c>
      <c r="C32" s="105" t="n"/>
      <c r="D32" s="106" t="inlineStr">
        <is>
          <t>Weighted Average:</t>
        </is>
      </c>
      <c r="E32" s="107">
        <f>IF(COUNT(E26:E31)=0,"",ROUND(AVERAGE(E26:E31),1))</f>
        <v/>
      </c>
      <c r="F32" s="108">
        <f>IF(COUNT(F26:F31)=0,"",SUM(F26:F31))</f>
        <v/>
      </c>
      <c r="G32" s="105" t="n"/>
    </row>
    <row r="33"/>
    <row r="34" ht="25.5" customHeight="1" s="57">
      <c r="B34" s="79" t="inlineStr">
        <is>
          <t>DIMENSION 3: SOCIAL (Institutions &amp; Community)</t>
        </is>
      </c>
    </row>
    <row r="35" ht="27.75" customHeight="1" s="57">
      <c r="B35" s="80" t="inlineStr">
        <is>
          <t>Criterion</t>
        </is>
      </c>
      <c r="C35" s="80" t="inlineStr">
        <is>
          <t>Weight</t>
        </is>
      </c>
      <c r="D35" s="80" t="inlineStr">
        <is>
          <t>Evidence Found</t>
        </is>
      </c>
      <c r="E35" s="80" t="inlineStr">
        <is>
          <t>Rating (1-6)</t>
        </is>
      </c>
      <c r="F35" s="80" t="inlineStr">
        <is>
          <t>Score</t>
        </is>
      </c>
      <c r="G35" s="80" t="inlineStr">
        <is>
          <t>Notes / Source URLs</t>
        </is>
      </c>
    </row>
    <row r="36" ht="31.5" customHeight="1" s="57">
      <c r="B36" s="97" t="inlineStr">
        <is>
          <t>Institutional Partnerships</t>
        </is>
      </c>
      <c r="C36" s="78" t="inlineStr">
        <is>
          <t>25%</t>
        </is>
      </c>
      <c r="D36" s="78" t="n"/>
      <c r="E36" s="78" t="n"/>
      <c r="F36" s="103">
        <f>IF(E36="","",E36*VALUE(SUBSTITUTE(C36,"%",""))/100)</f>
        <v/>
      </c>
      <c r="G36" s="98" t="n"/>
    </row>
    <row r="37" ht="31.5" customHeight="1" s="57">
      <c r="B37" s="97" t="inlineStr">
        <is>
          <t>Community Engagement</t>
        </is>
      </c>
      <c r="C37" s="78" t="inlineStr">
        <is>
          <t>25%</t>
        </is>
      </c>
      <c r="D37" s="78" t="n"/>
      <c r="E37" s="78" t="n"/>
      <c r="F37" s="103">
        <f>IF(E37="","",E37*VALUE(SUBSTITUTE(C37,"%",""))/100)</f>
        <v/>
      </c>
      <c r="G37" s="98" t="n"/>
    </row>
    <row r="38" ht="31.5" customHeight="1" s="57">
      <c r="B38" s="97" t="inlineStr">
        <is>
          <t>Capacity Building</t>
        </is>
      </c>
      <c r="C38" s="78" t="inlineStr">
        <is>
          <t>20%</t>
        </is>
      </c>
      <c r="D38" s="78" t="n"/>
      <c r="E38" s="78" t="n"/>
      <c r="F38" s="103">
        <f>IF(E38="","",E38*VALUE(SUBSTITUTE(C38,"%",""))/100)</f>
        <v/>
      </c>
      <c r="G38" s="98" t="n"/>
    </row>
    <row r="39" ht="31.5" customHeight="1" s="57">
      <c r="B39" s="97" t="inlineStr">
        <is>
          <t>Policy Integration</t>
        </is>
      </c>
      <c r="C39" s="78" t="inlineStr">
        <is>
          <t>15%</t>
        </is>
      </c>
      <c r="D39" s="78" t="n"/>
      <c r="E39" s="78" t="n"/>
      <c r="F39" s="103">
        <f>IF(E39="","",E39*VALUE(SUBSTITUTE(C39,"%",""))/100)</f>
        <v/>
      </c>
      <c r="G39" s="98" t="n"/>
    </row>
    <row r="40" ht="31.5" customHeight="1" s="57">
      <c r="B40" s="97" t="inlineStr">
        <is>
          <t>Cross-Lingual Platforms</t>
        </is>
      </c>
      <c r="C40" s="78" t="inlineStr">
        <is>
          <t>10%</t>
        </is>
      </c>
      <c r="D40" s="78" t="n"/>
      <c r="E40" s="78" t="n"/>
      <c r="F40" s="103">
        <f>IF(E40="","",E40*VALUE(SUBSTITUTE(C40,"%",""))/100)</f>
        <v/>
      </c>
      <c r="G40" s="98" t="n"/>
    </row>
    <row r="41" ht="31.5" customHeight="1" s="57">
      <c r="B41" s="97" t="inlineStr">
        <is>
          <t>Sustainability</t>
        </is>
      </c>
      <c r="C41" s="78" t="inlineStr">
        <is>
          <t>5%</t>
        </is>
      </c>
      <c r="D41" s="78" t="n"/>
      <c r="E41" s="78" t="n"/>
      <c r="F41" s="103">
        <f>IF(E41="","",E41*VALUE(SUBSTITUTE(C41,"%",""))/100)</f>
        <v/>
      </c>
      <c r="G41" s="98" t="n"/>
    </row>
    <row r="42" ht="25.5" customHeight="1" s="57">
      <c r="B42" s="104" t="inlineStr">
        <is>
          <t>SOCIAL SUBTOTAL</t>
        </is>
      </c>
      <c r="C42" s="105" t="n"/>
      <c r="D42" s="106" t="inlineStr">
        <is>
          <t>Weighted Average:</t>
        </is>
      </c>
      <c r="E42" s="107">
        <f>IF(COUNT(E36:E41)=0,"",ROUND(AVERAGE(E36:E41),1))</f>
        <v/>
      </c>
      <c r="F42" s="108">
        <f>IF(COUNT(F36:F41)=0,"",SUM(F36:F41))</f>
        <v/>
      </c>
      <c r="G42" s="105" t="n"/>
    </row>
    <row r="43"/>
    <row r="44" ht="25.5" customHeight="1" s="57">
      <c r="B44" s="79" t="inlineStr">
        <is>
          <t>DIMENSION 4: THINKING (Cognition &amp; Identity)</t>
        </is>
      </c>
    </row>
    <row r="45" ht="27.75" customHeight="1" s="57">
      <c r="B45" s="80" t="inlineStr">
        <is>
          <t>Criterion</t>
        </is>
      </c>
      <c r="C45" s="80" t="inlineStr">
        <is>
          <t>Weight</t>
        </is>
      </c>
      <c r="D45" s="80" t="inlineStr">
        <is>
          <t>Evidence Found</t>
        </is>
      </c>
      <c r="E45" s="80" t="inlineStr">
        <is>
          <t>Rating (1-6)</t>
        </is>
      </c>
      <c r="F45" s="80" t="inlineStr">
        <is>
          <t>Score</t>
        </is>
      </c>
      <c r="G45" s="80" t="inlineStr">
        <is>
          <t>Notes / Source URLs</t>
        </is>
      </c>
    </row>
    <row r="46" ht="31.5" customHeight="1" s="57">
      <c r="B46" s="97" t="inlineStr">
        <is>
          <t>Linguistic Identity</t>
        </is>
      </c>
      <c r="C46" s="78" t="inlineStr">
        <is>
          <t>25%</t>
        </is>
      </c>
      <c r="D46" s="78" t="n"/>
      <c r="E46" s="78" t="n"/>
      <c r="F46" s="103">
        <f>IF(E46="","",E46*VALUE(SUBSTITUTE(C46,"%",""))/100)</f>
        <v/>
      </c>
      <c r="G46" s="98" t="n"/>
    </row>
    <row r="47" ht="31.5" customHeight="1" s="57">
      <c r="B47" s="97" t="inlineStr">
        <is>
          <t>Participatory Design</t>
        </is>
      </c>
      <c r="C47" s="78" t="inlineStr">
        <is>
          <t>25%</t>
        </is>
      </c>
      <c r="D47" s="78" t="n"/>
      <c r="E47" s="78" t="n"/>
      <c r="F47" s="103">
        <f>IF(E47="","",E47*VALUE(SUBSTITUTE(C47,"%",""))/100)</f>
        <v/>
      </c>
      <c r="G47" s="98" t="n"/>
    </row>
    <row r="48" ht="31.5" customHeight="1" s="57">
      <c r="B48" s="97" t="inlineStr">
        <is>
          <t>Technology Trust</t>
        </is>
      </c>
      <c r="C48" s="78" t="inlineStr">
        <is>
          <t>20%</t>
        </is>
      </c>
      <c r="D48" s="78" t="n"/>
      <c r="E48" s="78" t="n"/>
      <c r="F48" s="103">
        <f>IF(E48="","",E48*VALUE(SUBSTITUTE(C48,"%",""))/100)</f>
        <v/>
      </c>
      <c r="G48" s="98" t="n"/>
    </row>
    <row r="49" ht="31.5" customHeight="1" s="57">
      <c r="B49" s="97" t="inlineStr">
        <is>
          <t>Prestige &amp; Status</t>
        </is>
      </c>
      <c r="C49" s="78" t="inlineStr">
        <is>
          <t>15%</t>
        </is>
      </c>
      <c r="D49" s="78" t="n"/>
      <c r="E49" s="78" t="n"/>
      <c r="F49" s="103">
        <f>IF(E49="","",E49*VALUE(SUBSTITUTE(C49,"%",""))/100)</f>
        <v/>
      </c>
      <c r="G49" s="98" t="n"/>
    </row>
    <row r="50" ht="31.5" customHeight="1" s="57">
      <c r="B50" s="97" t="inlineStr">
        <is>
          <t>Epistemic Justice</t>
        </is>
      </c>
      <c r="C50" s="78" t="inlineStr">
        <is>
          <t>10%</t>
        </is>
      </c>
      <c r="D50" s="78" t="n"/>
      <c r="E50" s="78" t="n"/>
      <c r="F50" s="103">
        <f>IF(E50="","",E50*VALUE(SUBSTITUTE(C50,"%",""))/100)</f>
        <v/>
      </c>
      <c r="G50" s="98" t="n"/>
    </row>
    <row r="51" ht="31.5" customHeight="1" s="57">
      <c r="B51" s="97" t="inlineStr">
        <is>
          <t>Cognitive Load</t>
        </is>
      </c>
      <c r="C51" s="78" t="inlineStr">
        <is>
          <t>5%</t>
        </is>
      </c>
      <c r="D51" s="78" t="n"/>
      <c r="E51" s="78" t="n"/>
      <c r="F51" s="103">
        <f>IF(E51="","",E51*VALUE(SUBSTITUTE(C51,"%",""))/100)</f>
        <v/>
      </c>
      <c r="G51" s="98" t="n"/>
    </row>
    <row r="52" ht="25.5" customHeight="1" s="57">
      <c r="B52" s="104" t="inlineStr">
        <is>
          <t>THINKING SUBTOTAL</t>
        </is>
      </c>
      <c r="C52" s="105" t="n"/>
      <c r="D52" s="106" t="inlineStr">
        <is>
          <t>Weighted Average:</t>
        </is>
      </c>
      <c r="E52" s="107">
        <f>IF(COUNT(E46:E51)=0,"",ROUND(AVERAGE(E46:E51),1))</f>
        <v/>
      </c>
      <c r="F52" s="108">
        <f>IF(COUNT(F46:F51)=0,"",SUM(F46:F51))</f>
        <v/>
      </c>
      <c r="G52" s="105" t="n"/>
    </row>
    <row r="53"/>
    <row r="54" ht="25.5" customHeight="1" s="57">
      <c r="B54" s="76" t="inlineStr">
        <is>
          <t>OVERALL CPST SUMMARY</t>
        </is>
      </c>
    </row>
    <row r="55" ht="24" customHeight="1" s="57">
      <c r="B55" s="65" t="inlineStr">
        <is>
          <t>Dimension</t>
        </is>
      </c>
      <c r="C55" s="65" t="inlineStr">
        <is>
          <t>Avg Rating</t>
        </is>
      </c>
      <c r="D55" s="65" t="inlineStr">
        <is>
          <t>Status</t>
        </is>
      </c>
      <c r="E55" s="65" t="inlineStr">
        <is>
          <t>Priority Actions</t>
        </is>
      </c>
      <c r="F55" s="66" t="n"/>
      <c r="G55" s="67" t="n"/>
    </row>
    <row r="56" ht="27.75" customHeight="1" s="57">
      <c r="B56" s="97" t="inlineStr">
        <is>
          <t>Cyber</t>
        </is>
      </c>
      <c r="C56" s="97">
        <f>E22</f>
        <v/>
      </c>
      <c r="D56" s="109">
        <f>IF(C56="","",IF(C56&gt;=5,"On Track",IF(C56&gt;=3,"Needs Attention","Critical Gap")))</f>
        <v/>
      </c>
      <c r="E56" s="78" t="n"/>
      <c r="F56" s="66" t="n"/>
      <c r="G56" s="67" t="n"/>
    </row>
    <row r="57" ht="27.75" customHeight="1" s="57">
      <c r="B57" s="97" t="inlineStr">
        <is>
          <t>Physical</t>
        </is>
      </c>
      <c r="C57" s="97">
        <f>E32</f>
        <v/>
      </c>
      <c r="D57" s="109">
        <f>IF(C57="","",IF(C57&gt;=5,"On Track",IF(C57&gt;=3,"Needs Attention","Critical Gap")))</f>
        <v/>
      </c>
      <c r="E57" s="78" t="n"/>
      <c r="F57" s="66" t="n"/>
      <c r="G57" s="67" t="n"/>
    </row>
    <row r="58" ht="27.75" customHeight="1" s="57">
      <c r="B58" s="97" t="inlineStr">
        <is>
          <t>Social</t>
        </is>
      </c>
      <c r="C58" s="97">
        <f>E42</f>
        <v/>
      </c>
      <c r="D58" s="109">
        <f>IF(C58="","",IF(C58&gt;=5,"On Track",IF(C58&gt;=3,"Needs Attention","Critical Gap")))</f>
        <v/>
      </c>
      <c r="E58" s="78" t="n"/>
      <c r="F58" s="66" t="n"/>
      <c r="G58" s="67" t="n"/>
    </row>
    <row r="59" ht="27.75" customHeight="1" s="57">
      <c r="B59" s="97" t="inlineStr">
        <is>
          <t>Thinking</t>
        </is>
      </c>
      <c r="C59" s="97">
        <f>E52</f>
        <v/>
      </c>
      <c r="D59" s="109">
        <f>IF(C59="","",IF(C59&gt;=5,"On Track",IF(C59&gt;=3,"Needs Attention","Critical Gap")))</f>
        <v/>
      </c>
      <c r="E59" s="78" t="n"/>
      <c r="F59" s="66" t="n"/>
      <c r="G59" s="67" t="n"/>
    </row>
    <row r="60" ht="30" customHeight="1" s="57">
      <c r="B60" s="110" t="inlineStr">
        <is>
          <t>OVERALL CPST SCORE</t>
        </is>
      </c>
      <c r="C60" s="111">
        <f>IF(COUNT(C56:C59)&lt;4,"",ROUND(AVERAGE(C56:C59),1))</f>
        <v/>
      </c>
      <c r="D60" s="112">
        <f>IF(C60="","",IF(C60&gt;=5,"STRONG",IF(C60&gt;=3.5,"MODERATE",IF(C60&gt;=2,"WEAK","CRITICAL"))))</f>
        <v/>
      </c>
      <c r="E60" s="113" t="n"/>
      <c r="F60" s="113" t="n"/>
      <c r="G60" s="113" t="n"/>
    </row>
    <row r="61"/>
    <row r="62" ht="25.5" customHeight="1" s="57">
      <c r="B62" s="76" t="inlineStr">
        <is>
          <t>DIAGNOSTIC RECOMMENDATIONS</t>
        </is>
      </c>
    </row>
    <row r="63" ht="24" customHeight="1" s="57">
      <c r="B63" s="65" t="inlineStr">
        <is>
          <t>Priority</t>
        </is>
      </c>
      <c r="C63" s="65" t="inlineStr">
        <is>
          <t>Dimension</t>
        </is>
      </c>
      <c r="D63" s="65" t="inlineStr">
        <is>
          <t>Recommended Intervention</t>
        </is>
      </c>
      <c r="E63" s="67" t="n"/>
      <c r="F63" s="56" t="n"/>
    </row>
    <row r="64" ht="34.5" customHeight="1" s="57">
      <c r="B64" s="82" t="inlineStr">
        <is>
          <t>1</t>
        </is>
      </c>
      <c r="C64" s="82" t="n"/>
      <c r="D64" s="82" t="n"/>
      <c r="E64" s="67" t="n"/>
      <c r="F64" s="83" t="n"/>
      <c r="G64" s="67" t="n"/>
    </row>
    <row r="65" ht="34.5" customHeight="1" s="57">
      <c r="B65" s="82" t="inlineStr">
        <is>
          <t>2</t>
        </is>
      </c>
      <c r="C65" s="82" t="n"/>
      <c r="D65" s="82" t="n"/>
      <c r="E65" s="67" t="n"/>
      <c r="F65" s="83" t="n"/>
      <c r="G65" s="67" t="n"/>
    </row>
    <row r="66" ht="34.5" customHeight="1" s="57">
      <c r="B66" s="82" t="inlineStr">
        <is>
          <t>3</t>
        </is>
      </c>
      <c r="C66" s="82" t="n"/>
      <c r="D66" s="82" t="n"/>
      <c r="E66" s="67" t="n"/>
      <c r="F66" s="83" t="n"/>
      <c r="G66" s="67" t="n"/>
    </row>
    <row r="67" ht="34.5" customHeight="1" s="57">
      <c r="B67" s="82" t="inlineStr">
        <is>
          <t>4</t>
        </is>
      </c>
      <c r="C67" s="82" t="n"/>
      <c r="D67" s="82" t="n"/>
      <c r="E67" s="67" t="n"/>
      <c r="F67" s="83" t="n"/>
      <c r="G67" s="67" t="n"/>
    </row>
    <row r="68"/>
    <row r="69" ht="25.5" customHeight="1" s="57">
      <c r="B69" s="76" t="inlineStr">
        <is>
          <t>ASSESSOR SIGN-OFF</t>
        </is>
      </c>
    </row>
    <row r="70" ht="25.5" customHeight="1" s="57">
      <c r="B70" s="100" t="inlineStr">
        <is>
          <t>Assessor 1 Signature:</t>
        </is>
      </c>
      <c r="C70" s="101" t="n"/>
      <c r="D70" s="67" t="n"/>
      <c r="E70" s="100" t="inlineStr">
        <is>
          <t>Date:</t>
        </is>
      </c>
      <c r="F70" s="101" t="n"/>
      <c r="G70" s="100" t="inlineStr">
        <is>
          <t>Confidence Level:</t>
        </is>
      </c>
    </row>
    <row r="71" ht="25.5" customHeight="1" s="57">
      <c r="B71" s="100" t="inlineStr">
        <is>
          <t>Assessor 2 Signature:</t>
        </is>
      </c>
      <c r="C71" s="101" t="n"/>
      <c r="D71" s="67" t="n"/>
      <c r="E71" s="100" t="inlineStr">
        <is>
          <t>Date:</t>
        </is>
      </c>
      <c r="F71" s="101" t="n"/>
      <c r="G71" s="100" t="inlineStr">
        <is>
          <t>Confidence Level:</t>
        </is>
      </c>
    </row>
    <row r="72" ht="25.5" customHeight="1" s="57">
      <c r="B72" s="100" t="inlineStr">
        <is>
          <t>Consensus Reached:</t>
        </is>
      </c>
      <c r="C72" s="101" t="n"/>
      <c r="D72" s="67" t="n"/>
      <c r="E72" s="100" t="inlineStr">
        <is>
          <t>Date:</t>
        </is>
      </c>
      <c r="F72" s="101" t="n"/>
      <c r="G72" s="100" t="inlineStr">
        <is>
          <t>Third Assessor (if needed):</t>
        </is>
      </c>
    </row>
  </sheetData>
  <mergeCells count="39">
    <mergeCell ref="B2:G2"/>
    <mergeCell ref="C6:D6"/>
    <mergeCell ref="F10:G10"/>
    <mergeCell ref="B14:G14"/>
    <mergeCell ref="D63:E63"/>
    <mergeCell ref="F63:G63"/>
    <mergeCell ref="F65:G65"/>
    <mergeCell ref="F6:G6"/>
    <mergeCell ref="B44:G44"/>
    <mergeCell ref="D65:E65"/>
    <mergeCell ref="E59:G59"/>
    <mergeCell ref="B69:G69"/>
    <mergeCell ref="F7:G7"/>
    <mergeCell ref="B34:G34"/>
    <mergeCell ref="C10:D10"/>
    <mergeCell ref="E57:G57"/>
    <mergeCell ref="C9:D9"/>
    <mergeCell ref="D66:E66"/>
    <mergeCell ref="F66:G66"/>
    <mergeCell ref="F8:G8"/>
    <mergeCell ref="B24:G24"/>
    <mergeCell ref="B5:G5"/>
    <mergeCell ref="C71:D71"/>
    <mergeCell ref="E56:G56"/>
    <mergeCell ref="E58:G58"/>
    <mergeCell ref="C70:D70"/>
    <mergeCell ref="B62:G62"/>
    <mergeCell ref="F9:G9"/>
    <mergeCell ref="C8:D8"/>
    <mergeCell ref="F67:G67"/>
    <mergeCell ref="B3:G3"/>
    <mergeCell ref="B54:G54"/>
    <mergeCell ref="E55:G55"/>
    <mergeCell ref="C7:D7"/>
    <mergeCell ref="D64:E64"/>
    <mergeCell ref="C72:D72"/>
    <mergeCell ref="D67:E67"/>
    <mergeCell ref="B12:G12"/>
    <mergeCell ref="F64:G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2026-05-24T05:31:05Z</dcterms:created>
  <dcterms:modified xmlns:dcterms="http://purl.org/dc/terms/" xmlns:xsi="http://www.w3.org/2001/XMLSchema-instance" xsi:type="dcterms:W3CDTF">2026-06-01T01:41:48Z</dcterms:modified>
  <cp:revision>1</cp:revision>
</cp:coreProperties>
</file>