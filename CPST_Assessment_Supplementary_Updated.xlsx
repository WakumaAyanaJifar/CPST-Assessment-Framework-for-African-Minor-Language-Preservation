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dministrator\Desktop\Africa langauges\"/>
    </mc:Choice>
  </mc:AlternateContent>
  <xr:revisionPtr revIDLastSave="0" documentId="8_{6AF44582-726D-4474-BD4A-E4F8A6B79E1A}" xr6:coauthVersionLast="36" xr6:coauthVersionMax="36" xr10:uidLastSave="{00000000-0000-0000-0000-000000000000}"/>
  <bookViews>
    <workbookView xWindow="0" yWindow="0" windowWidth="23040" windowHeight="8844" tabRatio="500" firstSheet="1" activeTab="3" xr2:uid="{00000000-000D-0000-FFFF-FFFF00000000}"/>
  </bookViews>
  <sheets>
    <sheet name="Cover" sheetId="1" r:id="rId1"/>
    <sheet name="CPST Rating Rubric" sheetId="2" r:id="rId2"/>
    <sheet name="Assessment Protocol" sheetId="3" r:id="rId3"/>
    <sheet name="Case Study Results" sheetId="4" r:id="rId4"/>
    <sheet name="Dataset Coverage" sheetId="5" r:id="rId5"/>
    <sheet name="Assessment Template" sheetId="6" r:id="rId6"/>
  </sheets>
  <calcPr calcId="191029" iterateDelta="1E-4"/>
</workbook>
</file>

<file path=xl/calcChain.xml><?xml version="1.0" encoding="utf-8"?>
<calcChain xmlns="http://schemas.openxmlformats.org/spreadsheetml/2006/main">
  <c r="C59" i="6" l="1"/>
  <c r="D59" i="6" s="1"/>
  <c r="C58" i="6"/>
  <c r="D58" i="6" s="1"/>
  <c r="C57" i="6"/>
  <c r="D57" i="6" s="1"/>
  <c r="E52" i="6"/>
  <c r="F51" i="6"/>
  <c r="F50" i="6"/>
  <c r="F49" i="6"/>
  <c r="F48" i="6"/>
  <c r="F47" i="6"/>
  <c r="F46" i="6"/>
  <c r="F52" i="6" s="1"/>
  <c r="E42" i="6"/>
  <c r="F41" i="6"/>
  <c r="F40" i="6"/>
  <c r="F39" i="6"/>
  <c r="F38" i="6"/>
  <c r="F37" i="6"/>
  <c r="F42" i="6" s="1"/>
  <c r="F36" i="6"/>
  <c r="E32" i="6"/>
  <c r="F31" i="6"/>
  <c r="F30" i="6"/>
  <c r="F29" i="6"/>
  <c r="F28" i="6"/>
  <c r="F27" i="6"/>
  <c r="F26" i="6"/>
  <c r="F32" i="6" s="1"/>
  <c r="E22" i="6"/>
  <c r="C56" i="6" s="1"/>
  <c r="F21" i="6"/>
  <c r="F20" i="6"/>
  <c r="F19" i="6"/>
  <c r="F18" i="6"/>
  <c r="F17" i="6"/>
  <c r="F22" i="6" s="1"/>
  <c r="F16" i="6"/>
  <c r="G10" i="4"/>
  <c r="F10" i="4"/>
  <c r="E10" i="4"/>
  <c r="D10" i="4"/>
  <c r="C10" i="4"/>
  <c r="H9" i="4"/>
  <c r="H8" i="4"/>
  <c r="H7" i="4"/>
  <c r="H6" i="4"/>
  <c r="H10" i="4" l="1"/>
  <c r="D56" i="6"/>
  <c r="C60" i="6"/>
  <c r="D60" i="6" s="1"/>
</calcChain>
</file>

<file path=xl/sharedStrings.xml><?xml version="1.0" encoding="utf-8"?>
<sst xmlns="http://schemas.openxmlformats.org/spreadsheetml/2006/main" count="732" uniqueCount="494">
  <si>
    <t>Supplementary Material</t>
  </si>
  <si>
    <t>CPST Assessment Framework: Rating Rubric, Protocol, and Case Study Data</t>
  </si>
  <si>
    <t>Supporting: A Cyber-Physical-Social-Thinking (CPST) Framework for African Minor Language Preservation and Revitalization in the AGI Era</t>
  </si>
  <si>
    <t>Ning, H., Fa, J., Ding, J. (2026)</t>
  </si>
  <si>
    <t>Submitted to: Scientific African</t>
  </si>
  <si>
    <t>WORKBOOK CONTENTS</t>
  </si>
  <si>
    <t>Sheet</t>
  </si>
  <si>
    <t>Description</t>
  </si>
  <si>
    <t>Content Summary</t>
  </si>
  <si>
    <t>CPST Rating Rubric</t>
  </si>
  <si>
    <t>Detailed scoring criteria for all 4 dimensions</t>
  </si>
  <si>
    <t>6-level rating scale, 24 criterion definitions, evidence requirements, assessment guidance</t>
  </si>
  <si>
    <t>Assessment Protocol</t>
  </si>
  <si>
    <t>Structured qualitative methodology documentation</t>
  </si>
  <si>
    <t>Protocol overview, dimension mapping criteria, 7-step data collection protocol, quality assurance measures</t>
  </si>
  <si>
    <t>Case Study Results</t>
  </si>
  <si>
    <t>Comparative CPST profiles of 5 African countries</t>
  </si>
  <si>
    <t>Ghana, Nigeria, Ethiopia, South Africa, Kenya ratings with visual chart and diagnostic findings</t>
  </si>
  <si>
    <t>Dataset Coverage</t>
  </si>
  <si>
    <t>African language coverage across 6 major benchmarks</t>
  </si>
  <si>
    <t>17 languages mapped across AfriSenti, MasakhaNER, AfroLM, NLLB-200, Common Voice with coverage statistics</t>
  </si>
  <si>
    <t>Assessment Template</t>
  </si>
  <si>
    <t>Blank field assessment form for new evaluations</t>
  </si>
  <si>
    <t>Ready-to-use template with formulas for weighted scoring, auto-calculated subtotals, sign-off section</t>
  </si>
  <si>
    <t>HOW TO USE THIS WORKBOOK</t>
  </si>
  <si>
    <t>1. Review the CPST Rating Rubric sheet to understand the 6-level rating scale and dimension-specific criteria.</t>
  </si>
  <si>
    <t>2. Follow the Assessment Protocol sheet for standardized data collection and evaluation procedures.</t>
  </si>
  <si>
    <t>3. Reference the Case Study Results and Dataset Coverage sheets for comparative benchmarking.</t>
  </si>
  <si>
    <t>4. Use the Assessment Template sheet to conduct new CPST evaluations — enter ratings in column E and weighted scores auto-calculate.</t>
  </si>
  <si>
    <t>5. Ratings require convergence of at least two independent documentary sources per dimension.</t>
  </si>
  <si>
    <t>CITATION</t>
  </si>
  <si>
    <t>Ning, H., Fa, J., &amp; Ding, J. (2026). A Cyber-Physical-Social-Thinking (CPST) Framework for African Minor Language Preservation and Revitalization in the AGI Era. Scientific African.</t>
  </si>
  <si>
    <t>CPST Assessment Rating Rubric</t>
  </si>
  <si>
    <t>Supplementary Material for: A Cyber-Physical-Social-Thinking (CPST) Framework for African Minor Language Preservation</t>
  </si>
  <si>
    <t>RATING SCALE DEFINITIONS</t>
  </si>
  <si>
    <t>Rating</t>
  </si>
  <si>
    <t>Label</t>
  </si>
  <si>
    <t>Definition</t>
  </si>
  <si>
    <t>Numeric Value</t>
  </si>
  <si>
    <t>Color Code</t>
  </si>
  <si>
    <t>6</t>
  </si>
  <si>
    <t>Strong</t>
  </si>
  <si>
    <t>Well-developed infrastructure with documented evidence of sustained impact and active community engagement</t>
  </si>
  <si>
    <t>Dark Green</t>
  </si>
  <si>
    <t>5</t>
  </si>
  <si>
    <t>Moderate</t>
  </si>
  <si>
    <t>Established infrastructure with some evidence of deployment but limited reach or sustainability concerns</t>
  </si>
  <si>
    <t>Light Green</t>
  </si>
  <si>
    <t>4</t>
  </si>
  <si>
    <t>Mixed</t>
  </si>
  <si>
    <t>Uneven development: some sub-dimensions are strong while others remain weak or underdeveloped</t>
  </si>
  <si>
    <t>Yellow</t>
  </si>
  <si>
    <t>3</t>
  </si>
  <si>
    <t>Emerging</t>
  </si>
  <si>
    <t>Initial efforts visible but not yet operational or scalable; pilot-stage initiatives</t>
  </si>
  <si>
    <t>Orange</t>
  </si>
  <si>
    <t>2</t>
  </si>
  <si>
    <t>Weak</t>
  </si>
  <si>
    <t>Minimal infrastructure; fragmented or ad-hoc efforts without coordination</t>
  </si>
  <si>
    <t>Red-Orange</t>
  </si>
  <si>
    <t>1</t>
  </si>
  <si>
    <t>Not addressed</t>
  </si>
  <si>
    <t>No identifiable initiatives or infrastructure in this dimension</t>
  </si>
  <si>
    <t>Red</t>
  </si>
  <si>
    <t>DIMENSION-SPECIFIC ASSESSMENT CRITERIA</t>
  </si>
  <si>
    <t>DIMENSION 1: CYBER (Digital Infrastructure)</t>
  </si>
  <si>
    <t>Criterion</t>
  </si>
  <si>
    <t>Weight</t>
  </si>
  <si>
    <t>Evidence Required</t>
  </si>
  <si>
    <t>Assessment Guidance</t>
  </si>
  <si>
    <t>Digital Corpora</t>
  </si>
  <si>
    <t>25%</t>
  </si>
  <si>
    <t>Availability and quality of text, speech, and multimodal datasets</t>
  </si>
  <si>
    <t>Corpus size, language coverage, annotation quality, open-source availability</t>
  </si>
  <si>
    <t>Check Hugging Face, GitHub, academic papers for documented corpora</t>
  </si>
  <si>
    <t>Language Models</t>
  </si>
  <si>
    <t>Pre-trained and fine-tuned models for language understanding and generation</t>
  </si>
  <si>
    <t>Model checkpoints, evaluation scores, architecture documentation</t>
  </si>
  <si>
    <t>Verify model availability on model hubs; check benchmark performance</t>
  </si>
  <si>
    <t>Machine Translation</t>
  </si>
  <si>
    <t>15%</t>
  </si>
  <si>
    <t>Translation systems supporting the language</t>
  </si>
  <si>
    <t>BLEU/chrF scores, human evaluation, language pair coverage</t>
  </si>
  <si>
    <t>Test translation quality; check NLLB coverage and specialized MT systems</t>
  </si>
  <si>
    <t>Speech Technology</t>
  </si>
  <si>
    <t>ASR and TTS systems and resources</t>
  </si>
  <si>
    <t>WER for ASR, MOS for TTS, hours of speech data available</t>
  </si>
  <si>
    <t>Evaluate speech demos; check Common Voice contributions</t>
  </si>
  <si>
    <t>Benchmarks</t>
  </si>
  <si>
    <t>10%</t>
  </si>
  <si>
    <t>Standardized evaluation datasets and leaderboards</t>
  </si>
  <si>
    <t>Number of tasks, language coverage, benchmark citations</t>
  </si>
  <si>
    <t>Check AfroBench, IrokoBench, Sahara inclusion</t>
  </si>
  <si>
    <t>APIs &amp; Platforms</t>
  </si>
  <si>
    <t>Accessible interfaces for end-user applications</t>
  </si>
  <si>
    <t>API documentation, uptime, usage statistics, developer community</t>
  </si>
  <si>
    <t>Test API endpoints; check documentation completeness</t>
  </si>
  <si>
    <t>DIMENSION 2: PHYSICAL (Tangible Infrastructure)</t>
  </si>
  <si>
    <t>Offline Deployment</t>
  </si>
  <si>
    <t>Pre-loaded devices, SD cards, USB drives for low-connectivity areas</t>
  </si>
  <si>
    <t>Distribution numbers, device specifications, content pre-loaded</t>
  </si>
  <si>
    <t>Check for offline-first design; verify distribution reach in rural areas</t>
  </si>
  <si>
    <t>Print Materials</t>
  </si>
  <si>
    <t>20%</t>
  </si>
  <si>
    <t>Textbooks, dictionaries, signage in the target language</t>
  </si>
  <si>
    <t>Publication counts, distribution channels, usage in schools</t>
  </si>
  <si>
    <t>Visit schools/community centers; check publisher catalogs</t>
  </si>
  <si>
    <t>Community Radio</t>
  </si>
  <si>
    <t>Radio broadcasts in indigenous languages</t>
  </si>
  <si>
    <t>Broadcast hours, geographic coverage, listener surveys</t>
  </si>
  <si>
    <t>Contact radio stations; check broadcast schedules and coverage maps</t>
  </si>
  <si>
    <t>Writing Systems</t>
  </si>
  <si>
    <t>Standardized orthographies and Unicode support</t>
  </si>
  <si>
    <t>Unicode status, font availability, keyboard layout support</t>
  </si>
  <si>
    <t>Verify Unicode block allocation; test input methods</t>
  </si>
  <si>
    <t>Public Signage</t>
  </si>
  <si>
    <t>Government signage, administrative forms in the language</t>
  </si>
  <si>
    <t>Documentation of official language use in public spaces</t>
  </si>
  <si>
    <t>Photograph/document public signage; check government websites</t>
  </si>
  <si>
    <t>Storage &amp; Archive</t>
  </si>
  <si>
    <t>Physical and offline digital preservation of language materials</t>
  </si>
  <si>
    <t>Archive accessibility, backup protocols, redundancy measures</t>
  </si>
  <si>
    <t>Check national archives; verify community-held materials</t>
  </si>
  <si>
    <t>DIMENSION 3: SOCIAL (Institutions &amp; Community)</t>
  </si>
  <si>
    <t>Institutional Partnerships</t>
  </si>
  <si>
    <t>Government, university, NGO, and industry collaborations</t>
  </si>
  <si>
    <t>MOUs, joint projects, funding streams, policy documents</t>
  </si>
  <si>
    <t>Review partnership agreements; check institutional websites</t>
  </si>
  <si>
    <t>Community Engagement</t>
  </si>
  <si>
    <t>Native speaker involvement in data collection and validation</t>
  </si>
  <si>
    <t>Volunteer network size, annotation workflows, community events</t>
  </si>
  <si>
    <t>Check Masakhane-style participatory models; verify community governance</t>
  </si>
  <si>
    <t>Capacity Building</t>
  </si>
  <si>
    <t>Training programmes for local NLP researchers and practitioners</t>
  </si>
  <si>
    <t>Number of trainees, curriculum availability, career outcomes</t>
  </si>
  <si>
    <t>Check Deep Learning Indaba, African Languages Lab participation</t>
  </si>
  <si>
    <t>Policy Integration</t>
  </si>
  <si>
    <t>National language policies supporting digital language technology</t>
  </si>
  <si>
    <t>Policy documents, implementation reports, budget allocations</t>
  </si>
  <si>
    <t>Review national language policies; check UNESCO IDIL action plans</t>
  </si>
  <si>
    <t>Cross-Lingual Platforms</t>
  </si>
  <si>
    <t>Digital platforms enabling multilingual community interaction</t>
  </si>
  <si>
    <t>Platform user numbers, language pair coverage, content moderation</t>
  </si>
  <si>
    <t>Check social media presence; evaluate platform accessibility</t>
  </si>
  <si>
    <t>Sustainability</t>
  </si>
  <si>
    <t>5%</t>
  </si>
  <si>
    <t>Long-term funding and organisational continuity plans</t>
  </si>
  <si>
    <t>Funding sources, organisational structure, succession planning</t>
  </si>
  <si>
    <t>Review grant awards; check organisational sustainability reports</t>
  </si>
  <si>
    <t>DIMENSION 4: THINKING (Cognition &amp; Identity)</t>
  </si>
  <si>
    <t>Linguistic Identity</t>
  </si>
  <si>
    <t>Community attitudes toward the language as part of cultural identity</t>
  </si>
  <si>
    <t>Survey data, interview transcripts, social media sentiment analysis</t>
  </si>
  <si>
    <t>Conduct attitude surveys; analyse social media discourse</t>
  </si>
  <si>
    <t>Participatory Design</t>
  </si>
  <si>
    <t>Community involvement in technology design and governance</t>
  </si>
  <si>
    <t>Design workshop records, community review board minutes, consent protocols</t>
  </si>
  <si>
    <t>Check for community co-design sessions; verify data sovereignty agreements</t>
  </si>
  <si>
    <t>Technology Trust</t>
  </si>
  <si>
    <t>Community confidence in AI/AGI language tools</t>
  </si>
  <si>
    <t>User acceptance studies, trust surveys, adoption rate data</t>
  </si>
  <si>
    <t>Conduct user studies; monitor app download and retention rates</t>
  </si>
  <si>
    <t>Prestige &amp; Status</t>
  </si>
  <si>
    <t>Perceived social and economic value of the language</t>
  </si>
  <si>
    <t>Employment data, educational outcomes, intergenerational transmission rates</t>
  </si>
  <si>
    <t>Track language use across generations; correlate with socioeconomic factors</t>
  </si>
  <si>
    <t>Epistemic Justice</t>
  </si>
  <si>
    <t>Recognition of indigenous knowledge systems in technology</t>
  </si>
  <si>
    <t>Citation of local experts, knowledge co-production documentation</t>
  </si>
  <si>
    <t>Check authorship of papers; verify community knowledge attribution</t>
  </si>
  <si>
    <t>Cognitive Load</t>
  </si>
  <si>
    <t>Usability and accessibility of language technology interfaces</t>
  </si>
  <si>
    <t>User experience testing, error rates, help-seeking behaviour</t>
  </si>
  <si>
    <t>Conduct UX studies with elderly and low-literacy users</t>
  </si>
  <si>
    <t>CPST Qualitative Assessment Protocol</t>
  </si>
  <si>
    <t>Structured qualitative assessment methodology for CPST dimension mapping</t>
  </si>
  <si>
    <t>PROTOCOL OVERVIEW</t>
  </si>
  <si>
    <t>Purpose</t>
  </si>
  <si>
    <t>To systematically evaluate language preservation initiatives across the four CPST dimensions using structured qualitative criteria</t>
  </si>
  <si>
    <t>Method</t>
  </si>
  <si>
    <t>Document analysis, project documentation review, and expert triangulation</t>
  </si>
  <si>
    <t>Data Sources</t>
  </si>
  <si>
    <t>Peer-reviewed papers, technical reports, project websites, benchmark documentation, news articles, policy documents</t>
  </si>
  <si>
    <t>Rating Scale</t>
  </si>
  <si>
    <t>Strong (6), Moderate (5), Mixed (4), Emerging (3), Weak (2), Not addressed (1)</t>
  </si>
  <si>
    <t>Independence</t>
  </si>
  <si>
    <t>Two authors independently review documents; disagreements resolved through discussion; third author consulted for remaining cases</t>
  </si>
  <si>
    <t>Min. Sources</t>
  </si>
  <si>
    <t>Convergence of at least two independent sources required for each rating</t>
  </si>
  <si>
    <t>DIMENSION MAPPING CRITERIA</t>
  </si>
  <si>
    <t>Dimension</t>
  </si>
  <si>
    <t>Assessment Criteria</t>
  </si>
  <si>
    <t>Rating Guidance</t>
  </si>
  <si>
    <t>Cyber</t>
  </si>
  <si>
    <t>Presence and quality of digital corpora, models, APIs, or platforms; evidence of usage; open-source availability.</t>
  </si>
  <si>
    <t>Strong: Multiple high-quality datasets and models publicly available
Moderate: Some digital resources exist but limited
Weak: Minimal or no digital infrastructure</t>
  </si>
  <si>
    <t>Physical</t>
  </si>
  <si>
    <t>Existence of offline deployment (SD cards, tablets, radio), printed materials (textbooks, signage), or infrastructure (broadcast, Unicode standards).</t>
  </si>
  <si>
    <t>Strong: Comprehensive offline deployment and print materials
Moderate: Some physical anchors exist
Weak: No tangible infrastructure</t>
  </si>
  <si>
    <t>Social</t>
  </si>
  <si>
    <t>Institutional partnerships (government, academia, NGOs), community engagement (volunteer networks, training programmes), policy support.</t>
  </si>
  <si>
    <t>Strong: Multi-stakeholder partnerships with active community engagement
Moderate: Some institutional support
Weak: Isolated efforts without institutional backing</t>
  </si>
  <si>
    <t>Thinking</t>
  </si>
  <si>
    <t>Evidence of participatory design, community ownership, linguistic pride measures (surveys, testimonials), or prestige campaigns.</t>
  </si>
  <si>
    <t>Strong: Documented community ownership and prestige building
Moderate: Some participatory elements
Weak: No evidence of community involvement or pride initiatives</t>
  </si>
  <si>
    <t>DATA COLLECTION PROTOCOL</t>
  </si>
  <si>
    <t>Step</t>
  </si>
  <si>
    <t>Activity</t>
  </si>
  <si>
    <t>Output</t>
  </si>
  <si>
    <t>1. Source Identification</t>
  </si>
  <si>
    <t>Identify all publicly available materials: peer-reviewed papers, technical reports, project websites, benchmark documentation, news articles, policy documents</t>
  </si>
  <si>
    <t>Comprehensive source list with URLs and access dates</t>
  </si>
  <si>
    <t>2. Document Collection</t>
  </si>
  <si>
    <t>Download and archive all identified documents. Record metadata: author, date, type, URL, archive location</t>
  </si>
  <si>
    <t>Organised document repository with metadata</t>
  </si>
  <si>
    <t>3. Evidence Extraction</t>
  </si>
  <si>
    <t>For each CPST dimension, extract relevant evidence from each document using the dimension-specific criteria</t>
  </si>
  <si>
    <t>Structured evidence matrix (document x dimension)</t>
  </si>
  <si>
    <t>4. Independent Rating</t>
  </si>
  <si>
    <t>Two assessors independently rate each dimension (1-6) based on convergent evidence from at least two sources</t>
  </si>
  <si>
    <t>Independent rating sheets with justification notes</t>
  </si>
  <si>
    <t>5. Consensus Meeting</t>
  </si>
  <si>
    <t>Assessors meet to discuss ratings. Disagreements are resolved through evidence-based discussion</t>
  </si>
  <si>
    <t>Consensus rating with documented rationale</t>
  </si>
  <si>
    <t>6. Third-Party Review</t>
  </si>
  <si>
    <t>For remaining disagreements, a third assessor reviews evidence and adjudicates final rating</t>
  </si>
  <si>
    <t>Final adjudicated ratings</t>
  </si>
  <si>
    <t>7. Synthesis</t>
  </si>
  <si>
    <t>Aggregate ratings across all case studies to identify patterns, gaps, and strategic recommendations</t>
  </si>
  <si>
    <t>Comparative analysis table and narrative synthesis</t>
  </si>
  <si>
    <t>QUALITY ASSURANCE MEASURES</t>
  </si>
  <si>
    <t>Triangulation</t>
  </si>
  <si>
    <t>Ratings require convergence of at least two independent documentary sources</t>
  </si>
  <si>
    <t>Inter-rater Reliability</t>
  </si>
  <si>
    <t>Two independent assessors; Cohen's kappa calculated for agreement</t>
  </si>
  <si>
    <t>Audit Trail</t>
  </si>
  <si>
    <t>All evidence, ratings, and decision rationales documented and archived</t>
  </si>
  <si>
    <t>Source Transparency</t>
  </si>
  <si>
    <t>All sources cited with URLs and access dates for reproducibility</t>
  </si>
  <si>
    <t>Bias Mitigation</t>
  </si>
  <si>
    <t>Assessors blinded to each other's ratings until consensus meeting</t>
  </si>
  <si>
    <t>Limitation Acknowledgment</t>
  </si>
  <si>
    <t>Documentary sources may not capture informal or recent developments</t>
  </si>
  <si>
    <t>Comparative CPST Profiles of Case Studies</t>
  </si>
  <si>
    <t>Ratings derived through structured qualitative assessment following the CPST protocol (Section 4 of main paper)</t>
  </si>
  <si>
    <t>Ghana</t>
  </si>
  <si>
    <t>Nigeria</t>
  </si>
  <si>
    <t>Ethiopia</t>
  </si>
  <si>
    <t>South Africa</t>
  </si>
  <si>
    <t>Kenya</t>
  </si>
  <si>
    <t>Numeric Avg</t>
  </si>
  <si>
    <t>Label Avg</t>
  </si>
  <si>
    <t>Key Evidence Summary</t>
  </si>
  <si>
    <t>Strong (corpus)</t>
  </si>
  <si>
    <t>Strong (platform)</t>
  </si>
  <si>
    <t>Mixed (Amharic)</t>
  </si>
  <si>
    <t>Strong (speech, SLM)</t>
  </si>
  <si>
    <t>Moderate (AfriVoices-KE)</t>
  </si>
  <si>
    <t>Moderate-Strong</t>
  </si>
  <si>
    <t>GhanaNLP parallel corpus (41,500 sentences, 5 languages). Khaya AI translation engine. Nsanku benchmark (43 languages). NKENNE platform (13 languages, 100K+ learners). N-ATLAS (Llama-3-8B for Yoruba/Hausa/Igbo). EthioLLM/EthioMT (6 languages). Swivuriso (3,000 hrs). InkubaLM (0.4B params, 5 languages). AfriVoices-KE (3,000 hrs, 5 languages).</t>
  </si>
  <si>
    <t>Moderate (Unicode)</t>
  </si>
  <si>
    <t>Weak (minor languages)</t>
  </si>
  <si>
    <t>Weak-Moderate</t>
  </si>
  <si>
    <t>No systematic textbooks or public signage. National rollout through NITDA partnership beginning. Ge'ez script standardised; national broadcasting infrastructure. Few textbooks/radio for Venda/Tsonga. Indigenous language textbooks scarce; radio predominantly Swahili/English.</t>
  </si>
  <si>
    <t>Weak (research)</t>
  </si>
  <si>
    <t>Strong (govt, learners)</t>
  </si>
  <si>
    <t>Moderate (policy)</t>
  </si>
  <si>
    <t>Moderate (11 official)</t>
  </si>
  <si>
    <t>Mixed (Swahili strong, others weak)</t>
  </si>
  <si>
    <t>Weak-Strong</t>
  </si>
  <si>
    <t>Limited community engagement beyond researchers. Government partnership + large user base. Mother-tongue primary education policy. Constitutional recognition of 11 languages. Strong Swahili policy support; minority languages lack institutional backing.</t>
  </si>
  <si>
    <t>Strong (design)</t>
  </si>
  <si>
    <t>Strong (pride)</t>
  </si>
  <si>
    <t>Moderate (urban/rural divide)</t>
  </si>
  <si>
    <t>Weak (urban youth)</t>
  </si>
  <si>
    <t>Not addressed-Strong</t>
  </si>
  <si>
    <t>COUNTRY AVERAGE</t>
  </si>
  <si>
    <t>KEY DIAGNOSTIC FINDINGS</t>
  </si>
  <si>
    <t>Strong Cyber foundation (GhanaNLP corpus) but requires Physical (textbooks, signage) and Social (community engagement beyond researchers) strengthening. Thinking dimension not addressed.</t>
  </si>
  <si>
    <t>Most balanced profile. Requires mechanisms for minority language inclusion beyond the initial 13 languages covered by NKENNE. Synthetic data generation may help scale.</t>
  </si>
  <si>
    <t>Strong Thinking dimension (linguistic pride) and good Physical infrastructure (Unicode, broadcasting). Cyber remains fragmented and under-resourced beyond Amharic; needs broader practical deployment for Oromo, Somali, Afar.</t>
  </si>
  <si>
    <t>Strong Cyber resources and Social policy support (11 official languages). Physical gaps persist for minor languages (Venda, Tsonga). Urban-rural Thinking disparities.</t>
  </si>
  <si>
    <t>Moderate Cyber (AfriVoices-KE) but weak Physical and Thinking for urban youth. Swahili dominance leaves 40+ indigenous languages underserved. Model needed for prestige elevation.</t>
  </si>
  <si>
    <t>African Language Coverage Across Major Benchmark Datasets</t>
  </si>
  <si>
    <t>Quantitative evidence of dataset imbalance across major African NLP corpora (Table 3 in main paper)</t>
  </si>
  <si>
    <t>Language</t>
  </si>
  <si>
    <t>ISO Code</t>
  </si>
  <si>
    <t>AfriSenti (tweets)</t>
  </si>
  <si>
    <t>MasakhaNER 2.0 (tokens)</t>
  </si>
  <si>
    <t>AfroLM (23 langs)</t>
  </si>
  <si>
    <t>NLLB-200</t>
  </si>
  <si>
    <t>Common Voice v18</t>
  </si>
  <si>
    <t>Status</t>
  </si>
  <si>
    <t>Notes</t>
  </si>
  <si>
    <t>Hausa</t>
  </si>
  <si>
    <t>hau</t>
  </si>
  <si>
    <t>22,155 (20.0%)</t>
  </si>
  <si>
    <t>221,086 (5.95%)</t>
  </si>
  <si>
    <t>Yes</t>
  </si>
  <si>
    <t>Repeated</t>
  </si>
  <si>
    <t>Largest AfriSenti corpus; strong across all benchmarks</t>
  </si>
  <si>
    <t>Yoruba</t>
  </si>
  <si>
    <t>yor</t>
  </si>
  <si>
    <t>15,130 (13.7%)</t>
  </si>
  <si>
    <t>244,144 (6.57%)</t>
  </si>
  <si>
    <t>Strong NER representation; consistent coverage</t>
  </si>
  <si>
    <t>Igbo</t>
  </si>
  <si>
    <t>ibo</t>
  </si>
  <si>
    <t>15,718 (14.2%)</t>
  </si>
  <si>
    <t>344,095 (9.27%)</t>
  </si>
  <si>
    <t>Largest MasakhaNER share; well-represented</t>
  </si>
  <si>
    <t>Swahili</t>
  </si>
  <si>
    <t>swa</t>
  </si>
  <si>
    <t>4,821 (4.4%)</t>
  </si>
  <si>
    <t>251,678 (6.78%)</t>
  </si>
  <si>
    <t>Major lingua franca; broad but not deep coverage</t>
  </si>
  <si>
    <t>Amharic</t>
  </si>
  <si>
    <t>amh</t>
  </si>
  <si>
    <t>9,483 (8.6%)</t>
  </si>
  <si>
    <t>---</t>
  </si>
  <si>
    <t>Ge'ez script; major Ethiopian language</t>
  </si>
  <si>
    <t>Somali</t>
  </si>
  <si>
    <t>som</t>
  </si>
  <si>
    <t>Afro-Asiatic; NLLB+AfroLM but no AfriSenti/MasakhaNER</t>
  </si>
  <si>
    <t>Zulu</t>
  </si>
  <si>
    <t>zu</t>
  </si>
  <si>
    <t>Nguni Bantu; South African major language</t>
  </si>
  <si>
    <t>Xhosa</t>
  </si>
  <si>
    <t>xh</t>
  </si>
  <si>
    <t>Yes (new)</t>
  </si>
  <si>
    <t>Nguni Bantu; click consonants; Common Voice v18 addition</t>
  </si>
  <si>
    <t>Fulfulde/Pulaar</t>
  </si>
  <si>
    <t>fuc/fuf</t>
  </si>
  <si>
    <t>Missing</t>
  </si>
  <si>
    <t>Widespread across Sahel; no major benchmark coverage</t>
  </si>
  <si>
    <t>Bambara</t>
  </si>
  <si>
    <t>bam</t>
  </si>
  <si>
    <t>Sparse</t>
  </si>
  <si>
    <t>Major Mande language; AfroLM only</t>
  </si>
  <si>
    <t>Lingala</t>
  </si>
  <si>
    <t>lin</t>
  </si>
  <si>
    <t>Bantu lingua franca; AfroLM only</t>
  </si>
  <si>
    <t>Ewe</t>
  </si>
  <si>
    <t>ewe</t>
  </si>
  <si>
    <t>Ghana/Togo Kwa language; AfroLM only</t>
  </si>
  <si>
    <t>Fon</t>
  </si>
  <si>
    <t>fon</t>
  </si>
  <si>
    <t>Benin/Nigeria Kwa language; AfroLM only</t>
  </si>
  <si>
    <t>Luganda</t>
  </si>
  <si>
    <t>lug</t>
  </si>
  <si>
    <t>Yes (text)</t>
  </si>
  <si>
    <t>Uganda Bantu; AfroLM + text CV only</t>
  </si>
  <si>
    <t>Tigrinya</t>
  </si>
  <si>
    <t>tir</t>
  </si>
  <si>
    <t>2,400 (2.2%)</t>
  </si>
  <si>
    <t>Horn of Africa; small AfriSenti only</t>
  </si>
  <si>
    <t>Wolof</t>
  </si>
  <si>
    <t>wol</t>
  </si>
  <si>
    <t>Senegal lingua franca; no speech data</t>
  </si>
  <si>
    <t>COVERAGE SUMMARY STATISTICS</t>
  </si>
  <si>
    <t>Metric</t>
  </si>
  <si>
    <t>Value</t>
  </si>
  <si>
    <t>Languages with Repeated coverage (4+ corpora)</t>
  </si>
  <si>
    <t>8 of ~2,000</t>
  </si>
  <si>
    <t>0.4% of estimated African languages</t>
  </si>
  <si>
    <t>Languages with Sparse coverage (1-2 corpora)</t>
  </si>
  <si>
    <t>9 of ~2,000</t>
  </si>
  <si>
    <t>Additional 0.45% with minimal representation</t>
  </si>
  <si>
    <t>Languages with Missing coverage</t>
  </si>
  <si>
    <t>~1,983 of ~2,000</t>
  </si>
  <si>
    <t>99.15% have no benchmark representation</t>
  </si>
  <si>
    <t>AfriSenti language coverage</t>
  </si>
  <si>
    <t>14 languages</t>
  </si>
  <si>
    <t>Largest sentiment corpus; still &lt;1% of African languages</t>
  </si>
  <si>
    <t>MasakhaNER 2.0 coverage</t>
  </si>
  <si>
    <t>20 languages</t>
  </si>
  <si>
    <t>Largest human-annotated NER dataset</t>
  </si>
  <si>
    <t>NLLB-200 African languages</t>
  </si>
  <si>
    <t>55 languages</t>
  </si>
  <si>
    <t>~2.75% of African linguistic diversity</t>
  </si>
  <si>
    <t>Sahara benchmark coverage</t>
  </si>
  <si>
    <t>517 languages</t>
  </si>
  <si>
    <t>Widest coverage but still excludes ~75% of languages</t>
  </si>
  <si>
    <t>AfroLM pretraining coverage</t>
  </si>
  <si>
    <t>23 languages</t>
  </si>
  <si>
    <t>Self-active learning multilingual model</t>
  </si>
  <si>
    <t>CPST Field Assessment Template</t>
  </si>
  <si>
    <t>Use this template to conduct new CPST assessments. Complete one template per language/initiative.</t>
  </si>
  <si>
    <t>ASSESSMENT METADATA</t>
  </si>
  <si>
    <t>Language Name:</t>
  </si>
  <si>
    <t>ISO 639-3 Code:</t>
  </si>
  <si>
    <t>Country/Region:</t>
  </si>
  <si>
    <t>Assessment Date:</t>
  </si>
  <si>
    <t>Assessor Name(s):</t>
  </si>
  <si>
    <t>Institution:</t>
  </si>
  <si>
    <t>Initiative/Project Name:</t>
  </si>
  <si>
    <t>Project URL:</t>
  </si>
  <si>
    <t>Number of Sources:</t>
  </si>
  <si>
    <t>Source Types:</t>
  </si>
  <si>
    <t>RATING INSTRUCTIONS: Rate each criterion on a scale of 1 (Not addressed) to 6 (Strong). Use the CPST Rating Rubric sheet for detailed criteria.</t>
  </si>
  <si>
    <t>Evidence Found</t>
  </si>
  <si>
    <t>Rating (1-6)</t>
  </si>
  <si>
    <t>Score</t>
  </si>
  <si>
    <t>Notes / Source URLs</t>
  </si>
  <si>
    <t>CYBER SUBTOTAL</t>
  </si>
  <si>
    <t>Weighted Average:</t>
  </si>
  <si>
    <t>PHYSICAL SUBTOTAL</t>
  </si>
  <si>
    <t>SOCIAL SUBTOTAL</t>
  </si>
  <si>
    <t>THINKING SUBTOTAL</t>
  </si>
  <si>
    <t>OVERALL CPST SUMMARY</t>
  </si>
  <si>
    <t>Avg Rating</t>
  </si>
  <si>
    <t>Priority Actions</t>
  </si>
  <si>
    <t>OVERALL CPST SCORE</t>
  </si>
  <si>
    <t>DIAGNOSTIC RECOMMENDATIONS</t>
  </si>
  <si>
    <t>Priority</t>
  </si>
  <si>
    <t>Recommended Intervention</t>
  </si>
  <si>
    <t>ASSESSOR SIGN-OFF</t>
  </si>
  <si>
    <t>Assessor 1 Signature:</t>
  </si>
  <si>
    <t>Date:</t>
  </si>
  <si>
    <t>Confidence Level:</t>
  </si>
  <si>
    <t>Assessor 2 Signature:</t>
  </si>
  <si>
    <t>Consensus Reached:</t>
  </si>
  <si>
    <t>Third Assessor (if needed):</t>
  </si>
  <si>
    <t>Weak(Minimal evidence)</t>
  </si>
  <si>
    <t>No prestige or participatory initiatives identified. Designed for African languages from ground up. Many youth agree digital mother-tongue communication is source of pride. Urban prestige lower than rural. Urban youth view indigenous languages as low prestige; rural communities maintain oral traditions.</t>
  </si>
  <si>
    <t>Dataset/Resource</t>
  </si>
  <si>
    <t>MasakhaNER 2.0</t>
  </si>
  <si>
    <t>NER (News)</t>
  </si>
  <si>
    <t>UCL Discovery / Adelani et al.</t>
  </si>
  <si>
    <t>https://discovery.ucl.ac.uk/id/eprint/10167286/</t>
  </si>
  <si>
    <t>AfriSenti (Twitter)</t>
  </si>
  <si>
    <t>Sentiment</t>
  </si>
  <si>
    <t>HuggingFace / HausaNLP</t>
  </si>
  <si>
    <t>https://huggingface.co/datasets/HausaNLP/AfriSenti-Twitter</t>
  </si>
  <si>
    <t>AfroLM</t>
  </si>
  <si>
    <t>Language Model</t>
  </si>
  <si>
    <t>HuggingFace / bonadossou</t>
  </si>
  <si>
    <t>https://huggingface.co/bonadossou/afrolm_active_learning</t>
  </si>
  <si>
    <t>FLoRes-200</t>
  </si>
  <si>
    <t>MT Benchmark</t>
  </si>
  <si>
    <t>Meta / HuggingFace</t>
  </si>
  <si>
    <t>https://huggingface.co/datasets/facebook/flores</t>
  </si>
  <si>
    <t>MT Model</t>
  </si>
  <si>
    <t>Meta AI</t>
  </si>
  <si>
    <t>https://ai.meta.com/blog/nllb-200-high-quality-machine-translation/</t>
  </si>
  <si>
    <t>Common Voice 18.0</t>
  </si>
  <si>
    <t>Speech</t>
  </si>
  <si>
    <t>Mozilla Foundation</t>
  </si>
  <si>
    <t>https://www.mozillafoundation.org/en/blog/common-voice-18-dataset-release/</t>
  </si>
  <si>
    <t>NKENNE Platform</t>
  </si>
  <si>
    <t>Language Learning</t>
  </si>
  <si>
    <t>NKENNE / NITDA</t>
  </si>
  <si>
    <t>https://nkenne.ai/</t>
  </si>
  <si>
    <t>GhanaNLP</t>
  </si>
  <si>
    <t>NLP Community</t>
  </si>
  <si>
    <t>https://ghananlp.org/</t>
  </si>
  <si>
    <t>N-ATLAS</t>
  </si>
  <si>
    <t>LLM (Nigeria)</t>
  </si>
  <si>
    <t>NCAIR</t>
  </si>
  <si>
    <t>https://ncair.gov.ng/</t>
  </si>
  <si>
    <t>InkubaLM</t>
  </si>
  <si>
    <t>Small LM</t>
  </si>
  <si>
    <t>Tonja et al.</t>
  </si>
  <si>
    <t>https://arxiv.org/abs/2408.17024</t>
  </si>
  <si>
    <t>AfroBench</t>
  </si>
  <si>
    <t>Benchmark</t>
  </si>
  <si>
    <t>Masakhane / Mila / Lelapa AI</t>
  </si>
  <si>
    <t>Community source</t>
  </si>
  <si>
    <t>Sahara Benchmark</t>
  </si>
  <si>
    <t>Sahara team</t>
  </si>
  <si>
    <t>IrokoBench</t>
  </si>
  <si>
    <t>Adelani et al.</t>
  </si>
  <si>
    <t>https://arxiv.org/abs/2402.13405</t>
  </si>
  <si>
    <t>EthioLLM / EthioMT</t>
  </si>
  <si>
    <t>LLM / MT</t>
  </si>
  <si>
    <t>https://arxiv.org/abs/2403.13737</t>
  </si>
  <si>
    <t>AfriVoices-KE</t>
  </si>
  <si>
    <t>Wanzare et al.</t>
  </si>
  <si>
    <t>https://arxiv.org/abs/2604.08448</t>
  </si>
  <si>
    <t>Swivuriso</t>
  </si>
  <si>
    <t>African Next Voices</t>
  </si>
  <si>
    <t>https://africanextvoices.org/</t>
  </si>
  <si>
    <t>WAXAL Dataset</t>
  </si>
  <si>
    <t>Google</t>
  </si>
  <si>
    <t>https://arxiv.org/abs/2602.02734</t>
  </si>
  <si>
    <t>Ethnologue</t>
  </si>
  <si>
    <t>Language Reference</t>
  </si>
  <si>
    <t>SIL International</t>
  </si>
  <si>
    <t>https://www.ethnologue.com/</t>
  </si>
  <si>
    <t>UNESCO IDIL</t>
  </si>
  <si>
    <t>Policy Framework</t>
  </si>
  <si>
    <t>UNESCO</t>
  </si>
  <si>
    <t>https://www.unesco.org/en/decade-indigenous-languages</t>
  </si>
  <si>
    <t>SOURCES (We just listed some of them here and the complete sources can be found in the references)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</si>
</sst>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rgb="FF000000"/>
      <name val="Calibri"/>
      <family val="2"/>
      <charset val="1"/>
    </font>
    <font>
      <b/>
      <sz val="20"/>
      <color rgb="FF333333"/>
      <name val="Calibri"/>
      <charset val="1"/>
    </font>
    <font>
      <b/>
      <sz val="14"/>
      <color rgb="FF0066CC"/>
      <name val="Calibri"/>
      <charset val="1"/>
    </font>
    <font>
      <sz val="11"/>
      <color rgb="FF666666"/>
      <name val="Calibri"/>
      <charset val="1"/>
    </font>
    <font>
      <i/>
      <sz val="10"/>
      <color rgb="FF666666"/>
      <name val="Calibri"/>
      <charset val="1"/>
    </font>
    <font>
      <b/>
      <sz val="13"/>
      <color rgb="FF0066CC"/>
      <name val="Calibri"/>
      <charset val="1"/>
    </font>
    <font>
      <b/>
      <sz val="11"/>
      <color rgb="FFFFFFFF"/>
      <name val="Calibri"/>
      <charset val="1"/>
    </font>
    <font>
      <b/>
      <sz val="10"/>
      <color rgb="FF0066CC"/>
      <name val="Calibri"/>
      <charset val="1"/>
    </font>
    <font>
      <sz val="10"/>
      <color rgb="FF000000"/>
      <name val="Calibri"/>
      <charset val="1"/>
    </font>
    <font>
      <i/>
      <sz val="9"/>
      <color rgb="FF666666"/>
      <name val="Calibri"/>
      <charset val="1"/>
    </font>
    <font>
      <sz val="10"/>
      <color rgb="FF444444"/>
      <name val="Calibri"/>
      <charset val="1"/>
    </font>
    <font>
      <b/>
      <sz val="12"/>
      <color rgb="FF0066CC"/>
      <name val="Calibri"/>
      <charset val="1"/>
    </font>
    <font>
      <b/>
      <sz val="16"/>
      <color rgb="FF333333"/>
      <name val="Calibri"/>
      <charset val="1"/>
    </font>
    <font>
      <b/>
      <sz val="10"/>
      <color rgb="FF000000"/>
      <name val="Calibri"/>
      <charset val="1"/>
    </font>
    <font>
      <b/>
      <sz val="11"/>
      <color rgb="FF0066CC"/>
      <name val="Calibri"/>
      <charset val="1"/>
    </font>
    <font>
      <b/>
      <sz val="10"/>
      <name val="Calibri"/>
      <charset val="1"/>
    </font>
    <font>
      <b/>
      <sz val="10"/>
      <color rgb="FF006600"/>
      <name val="Calibri"/>
      <charset val="1"/>
    </font>
    <font>
      <sz val="10"/>
      <name val="Calibri"/>
      <charset val="1"/>
    </font>
    <font>
      <b/>
      <sz val="10"/>
      <color rgb="FFCC0000"/>
      <name val="Calibri"/>
      <charset val="1"/>
    </font>
    <font>
      <sz val="10"/>
      <color rgb="FFCC6600"/>
      <name val="Calibri"/>
      <charset val="1"/>
    </font>
    <font>
      <b/>
      <sz val="11"/>
      <name val="Calibri"/>
      <charset val="1"/>
    </font>
    <font>
      <b/>
      <sz val="10"/>
      <color rgb="FF333333"/>
      <name val="Calibri"/>
      <charset val="1"/>
    </font>
    <font>
      <sz val="9"/>
      <color rgb="FF0066CC"/>
      <name val="Consolas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rgb="FF333333"/>
        <bgColor rgb="FF444444"/>
      </patternFill>
    </fill>
    <fill>
      <patternFill patternType="solid">
        <fgColor rgb="FFE6F0FA"/>
        <bgColor rgb="FFF5F5F5"/>
      </patternFill>
    </fill>
    <fill>
      <patternFill patternType="solid">
        <fgColor rgb="FFF5F5F5"/>
        <bgColor rgb="FFF9F9F9"/>
      </patternFill>
    </fill>
    <fill>
      <patternFill patternType="solid">
        <fgColor rgb="FFFFF8E1"/>
        <bgColor rgb="FFF9F9F9"/>
      </patternFill>
    </fill>
    <fill>
      <patternFill patternType="solid">
        <fgColor rgb="FFF9F9F9"/>
        <bgColor rgb="FFFAFAFA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66CC"/>
      </left>
      <right style="medium">
        <color rgb="FF0066CC"/>
      </right>
      <top style="medium">
        <color rgb="FF0066CC"/>
      </top>
      <bottom style="medium">
        <color rgb="FF0066CC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73">
    <xf numFmtId="0" fontId="0" fillId="0" borderId="0" xfId="0" applyAlignment="1"/>
    <xf numFmtId="0" fontId="0" fillId="0" borderId="0" xfId="0" applyAlignment="1"/>
    <xf numFmtId="0" fontId="0" fillId="2" borderId="0" xfId="0" applyFill="1" applyAlignment="1"/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 wrapText="1"/>
    </xf>
    <xf numFmtId="164" fontId="8" fillId="0" borderId="1" xfId="0" applyNumberFormat="1" applyFont="1" applyBorder="1" applyAlignment="1">
      <alignment vertical="top" wrapText="1"/>
    </xf>
    <xf numFmtId="0" fontId="7" fillId="4" borderId="1" xfId="0" applyFont="1" applyFill="1" applyBorder="1" applyAlignment="1">
      <alignment horizontal="center" vertical="center"/>
    </xf>
    <xf numFmtId="164" fontId="15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1" xfId="0" applyFont="1" applyBorder="1" applyAlignment="1">
      <alignment vertical="top" wrapText="1"/>
    </xf>
    <xf numFmtId="0" fontId="16" fillId="0" borderId="1" xfId="0" applyFont="1" applyBorder="1" applyAlignment="1">
      <alignment vertical="top" wrapText="1"/>
    </xf>
    <xf numFmtId="0" fontId="17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8" fillId="0" borderId="1" xfId="0" applyFont="1" applyBorder="1" applyAlignment="1">
      <alignment vertical="top" wrapText="1"/>
    </xf>
    <xf numFmtId="0" fontId="19" fillId="0" borderId="1" xfId="0" applyFont="1" applyBorder="1" applyAlignment="1">
      <alignment vertical="top" wrapText="1"/>
    </xf>
    <xf numFmtId="0" fontId="15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2" fontId="8" fillId="0" borderId="1" xfId="0" applyNumberFormat="1" applyFont="1" applyBorder="1" applyAlignment="1">
      <alignment vertical="center" wrapText="1"/>
    </xf>
    <xf numFmtId="0" fontId="7" fillId="4" borderId="1" xfId="0" applyFont="1" applyFill="1" applyBorder="1" applyAlignment="1"/>
    <xf numFmtId="0" fontId="0" fillId="4" borderId="1" xfId="0" applyFill="1" applyBorder="1" applyAlignment="1"/>
    <xf numFmtId="0" fontId="15" fillId="4" borderId="1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2" fontId="7" fillId="4" borderId="1" xfId="0" applyNumberFormat="1" applyFont="1" applyFill="1" applyBorder="1" applyAlignment="1"/>
    <xf numFmtId="0" fontId="0" fillId="0" borderId="1" xfId="0" applyBorder="1" applyAlignment="1">
      <alignment vertical="center" wrapText="1"/>
    </xf>
    <xf numFmtId="0" fontId="14" fillId="4" borderId="2" xfId="0" applyFont="1" applyFill="1" applyBorder="1" applyAlignment="1"/>
    <xf numFmtId="0" fontId="11" fillId="4" borderId="2" xfId="0" applyFont="1" applyFill="1" applyBorder="1" applyAlignment="1">
      <alignment horizontal="center"/>
    </xf>
    <xf numFmtId="0" fontId="20" fillId="4" borderId="2" xfId="0" applyFont="1" applyFill="1" applyBorder="1" applyAlignment="1">
      <alignment horizontal="center"/>
    </xf>
    <xf numFmtId="0" fontId="0" fillId="4" borderId="2" xfId="0" applyFill="1" applyBorder="1" applyAlignment="1"/>
    <xf numFmtId="0" fontId="9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4" fillId="2" borderId="0" xfId="0" applyFont="1" applyFill="1" applyAlignment="1">
      <alignment horizontal="center" vertical="center"/>
    </xf>
    <xf numFmtId="0" fontId="0" fillId="0" borderId="0" xfId="0" applyAlignment="1"/>
    <xf numFmtId="0" fontId="5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vertical="top" wrapText="1"/>
    </xf>
    <xf numFmtId="0" fontId="10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0" fillId="3" borderId="0" xfId="0" applyFill="1" applyAlignment="1"/>
    <xf numFmtId="0" fontId="14" fillId="5" borderId="0" xfId="0" applyFont="1" applyFill="1" applyAlignment="1">
      <alignment vertical="center"/>
    </xf>
    <xf numFmtId="0" fontId="12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top" wrapText="1"/>
    </xf>
    <xf numFmtId="0" fontId="9" fillId="6" borderId="0" xfId="0" applyFont="1" applyFill="1" applyAlignment="1">
      <alignment vertical="center" wrapText="1"/>
    </xf>
    <xf numFmtId="0" fontId="6" fillId="3" borderId="5" xfId="0" applyFont="1" applyFill="1" applyBorder="1" applyAlignment="1">
      <alignment horizontal="center" vertical="center"/>
    </xf>
    <xf numFmtId="0" fontId="21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0" fontId="22" fillId="0" borderId="5" xfId="0" applyFont="1" applyBorder="1" applyAlignment="1">
      <alignment horizontal="left" vertical="center"/>
    </xf>
    <xf numFmtId="0" fontId="21" fillId="7" borderId="5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left" vertical="center"/>
    </xf>
    <xf numFmtId="0" fontId="22" fillId="7" borderId="5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FFF8E1"/>
      <rgbColor rgb="FFE6F0F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F9F9F9"/>
      <rgbColor rgb="FFFFFF99"/>
      <rgbColor rgb="FF99CCFF"/>
      <rgbColor rgb="FFFF99CC"/>
      <rgbColor rgb="FFCC99FF"/>
      <rgbColor rgb="FFD9D9D9"/>
      <rgbColor rgb="FF4A90D9"/>
      <rgbColor rgb="FF33CCCC"/>
      <rgbColor rgb="FF99CC00"/>
      <rgbColor rgb="FFFFCC00"/>
      <rgbColor rgb="FFFF9900"/>
      <rgbColor rgb="FFCC6600"/>
      <rgbColor rgb="FF666666"/>
      <rgbColor rgb="FF999999"/>
      <rgbColor rgb="FF003366"/>
      <rgbColor rgb="FF339966"/>
      <rgbColor rgb="FF003300"/>
      <rgbColor rgb="FF444444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CPST Ratings by Country and Dimension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'Case Study Results'!$C$14</c:f>
              <c:strCache>
                <c:ptCount val="1"/>
                <c:pt idx="0">
                  <c:v>Ghana</c:v>
                </c:pt>
              </c:strCache>
            </c:strRef>
          </c:tx>
          <c:spPr>
            <a:solidFill>
              <a:srgbClr val="333333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Results'!$C$15:$C$18</c:f>
              <c:numCache>
                <c:formatCode>General</c:formatCode>
                <c:ptCount val="4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D1-468B-BA2C-50BE9062F62D}"/>
            </c:ext>
          </c:extLst>
        </c:ser>
        <c:ser>
          <c:idx val="1"/>
          <c:order val="1"/>
          <c:tx>
            <c:strRef>
              <c:f>'Case Study Results'!$D$14</c:f>
              <c:strCache>
                <c:ptCount val="1"/>
                <c:pt idx="0">
                  <c:v>Nigeria</c:v>
                </c:pt>
              </c:strCache>
            </c:strRef>
          </c:tx>
          <c:spPr>
            <a:solidFill>
              <a:srgbClr val="0066CC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Results'!$D$15:$D$18</c:f>
              <c:numCache>
                <c:formatCode>General</c:formatCode>
                <c:ptCount val="4"/>
                <c:pt idx="0">
                  <c:v>6</c:v>
                </c:pt>
                <c:pt idx="1">
                  <c:v>3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D1-468B-BA2C-50BE9062F62D}"/>
            </c:ext>
          </c:extLst>
        </c:ser>
        <c:ser>
          <c:idx val="2"/>
          <c:order val="2"/>
          <c:tx>
            <c:strRef>
              <c:f>'Case Study Results'!$E$14</c:f>
              <c:strCache>
                <c:ptCount val="1"/>
                <c:pt idx="0">
                  <c:v>Ethiopia</c:v>
                </c:pt>
              </c:strCache>
            </c:strRef>
          </c:tx>
          <c:spPr>
            <a:solidFill>
              <a:srgbClr val="4A90D9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Results'!$E$15:$E$18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D1-468B-BA2C-50BE9062F62D}"/>
            </c:ext>
          </c:extLst>
        </c:ser>
        <c:ser>
          <c:idx val="3"/>
          <c:order val="3"/>
          <c:tx>
            <c:strRef>
              <c:f>'Case Study Results'!$F$14</c:f>
              <c:strCache>
                <c:ptCount val="1"/>
                <c:pt idx="0">
                  <c:v>South Africa</c:v>
                </c:pt>
              </c:strCache>
            </c:strRef>
          </c:tx>
          <c:spPr>
            <a:solidFill>
              <a:srgbClr val="999999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Results'!$F$15:$F$18</c:f>
              <c:numCache>
                <c:formatCode>General</c:formatCode>
                <c:ptCount val="4"/>
                <c:pt idx="0">
                  <c:v>6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D1-468B-BA2C-50BE9062F62D}"/>
            </c:ext>
          </c:extLst>
        </c:ser>
        <c:ser>
          <c:idx val="4"/>
          <c:order val="4"/>
          <c:tx>
            <c:strRef>
              <c:f>'Case Study Results'!$G$14</c:f>
              <c:strCache>
                <c:ptCount val="1"/>
                <c:pt idx="0">
                  <c:v>Kenya</c:v>
                </c:pt>
              </c:strCache>
            </c:strRef>
          </c:tx>
          <c:spPr>
            <a:solidFill>
              <a:srgbClr val="BBBBB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Results'!$G$15:$G$18</c:f>
              <c:numCache>
                <c:formatCode>General</c:formatCode>
                <c:ptCount val="4"/>
                <c:pt idx="0">
                  <c:v>5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D1-468B-BA2C-50BE9062F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45666"/>
        <c:axId val="64321611"/>
      </c:barChart>
      <c:catAx>
        <c:axId val="28456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CPST Dimension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321611"/>
        <c:crosses val="autoZero"/>
        <c:auto val="1"/>
        <c:lblAlgn val="ctr"/>
        <c:lblOffset val="100"/>
        <c:noMultiLvlLbl val="0"/>
      </c:catAx>
      <c:valAx>
        <c:axId val="64321611"/>
        <c:scaling>
          <c:orientation val="minMax"/>
          <c:max val="7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Rating (1=Not addressed, 6=Strong)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84566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9</xdr:col>
      <xdr:colOff>2308680</xdr:colOff>
      <xdr:row>41</xdr:row>
      <xdr:rowOff>120600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showGridLines="0" topLeftCell="A4" zoomScaleNormal="100" workbookViewId="0"/>
  </sheetViews>
  <sheetFormatPr defaultColWidth="8.6640625" defaultRowHeight="14.4" x14ac:dyDescent="0.3"/>
  <cols>
    <col min="1" max="1" width="3" style="1" customWidth="1"/>
    <col min="2" max="3" width="30" style="1" customWidth="1"/>
    <col min="4" max="4" width="25" style="1" customWidth="1"/>
    <col min="5" max="7" width="20" style="1" customWidth="1"/>
  </cols>
  <sheetData>
    <row r="1" spans="1:7" ht="15" customHeight="1" x14ac:dyDescent="0.3">
      <c r="A1" s="2"/>
      <c r="B1" s="2"/>
      <c r="C1" s="2"/>
      <c r="D1" s="2"/>
      <c r="E1" s="2"/>
      <c r="F1" s="2"/>
      <c r="G1" s="2"/>
    </row>
    <row r="2" spans="1:7" ht="15" customHeight="1" x14ac:dyDescent="0.3">
      <c r="A2" s="2"/>
      <c r="B2" s="2"/>
      <c r="C2" s="2"/>
      <c r="D2" s="2"/>
      <c r="E2" s="2"/>
      <c r="F2" s="2"/>
      <c r="G2" s="2"/>
    </row>
    <row r="3" spans="1:7" ht="37.5" customHeight="1" x14ac:dyDescent="0.3">
      <c r="A3" s="2"/>
      <c r="B3" s="51" t="s">
        <v>0</v>
      </c>
      <c r="C3" s="43"/>
      <c r="D3" s="43"/>
      <c r="E3" s="43"/>
      <c r="F3" s="43"/>
      <c r="G3" s="43"/>
    </row>
    <row r="4" spans="1:7" ht="15" customHeight="1" x14ac:dyDescent="0.3">
      <c r="A4" s="2"/>
      <c r="B4" s="2"/>
      <c r="C4" s="2"/>
      <c r="D4" s="2"/>
      <c r="E4" s="2"/>
      <c r="F4" s="2"/>
      <c r="G4" s="2"/>
    </row>
    <row r="5" spans="1:7" ht="30" customHeight="1" x14ac:dyDescent="0.3">
      <c r="A5" s="2"/>
      <c r="B5" s="49" t="s">
        <v>1</v>
      </c>
      <c r="C5" s="43"/>
      <c r="D5" s="43"/>
      <c r="E5" s="43"/>
      <c r="F5" s="43"/>
      <c r="G5" s="43"/>
    </row>
    <row r="6" spans="1:7" ht="36" customHeight="1" x14ac:dyDescent="0.3">
      <c r="A6" s="2"/>
      <c r="B6" s="48" t="s">
        <v>2</v>
      </c>
      <c r="C6" s="43"/>
      <c r="D6" s="43"/>
      <c r="E6" s="43"/>
      <c r="F6" s="43"/>
      <c r="G6" s="43"/>
    </row>
    <row r="7" spans="1:7" ht="15" customHeight="1" x14ac:dyDescent="0.3">
      <c r="A7" s="2"/>
      <c r="B7" s="2"/>
      <c r="C7" s="2"/>
      <c r="D7" s="2"/>
      <c r="E7" s="2"/>
      <c r="F7" s="2"/>
      <c r="G7" s="2"/>
    </row>
    <row r="8" spans="1:7" ht="15" customHeight="1" x14ac:dyDescent="0.3">
      <c r="A8" s="2"/>
      <c r="B8" s="42" t="s">
        <v>3</v>
      </c>
      <c r="C8" s="43"/>
      <c r="D8" s="43"/>
      <c r="E8" s="43"/>
      <c r="F8" s="43"/>
      <c r="G8" s="43"/>
    </row>
    <row r="9" spans="1:7" ht="15" customHeight="1" x14ac:dyDescent="0.3">
      <c r="A9" s="2"/>
      <c r="B9" s="42" t="s">
        <v>4</v>
      </c>
      <c r="C9" s="43"/>
      <c r="D9" s="43"/>
      <c r="E9" s="43"/>
      <c r="F9" s="43"/>
      <c r="G9" s="43"/>
    </row>
    <row r="10" spans="1:7" ht="15" customHeight="1" x14ac:dyDescent="0.3">
      <c r="A10" s="2"/>
      <c r="B10" s="2"/>
      <c r="C10" s="2"/>
      <c r="D10" s="2"/>
      <c r="E10" s="2"/>
      <c r="F10" s="2"/>
      <c r="G10" s="2"/>
    </row>
    <row r="11" spans="1:7" ht="3" customHeight="1" x14ac:dyDescent="0.3">
      <c r="A11" s="2"/>
      <c r="B11" s="53"/>
      <c r="C11" s="43"/>
      <c r="D11" s="43"/>
      <c r="E11" s="43"/>
      <c r="F11" s="43"/>
      <c r="G11" s="43"/>
    </row>
    <row r="12" spans="1:7" ht="15" customHeight="1" x14ac:dyDescent="0.3">
      <c r="A12" s="2"/>
      <c r="B12" s="2"/>
      <c r="C12" s="2"/>
      <c r="D12" s="2"/>
      <c r="E12" s="2"/>
      <c r="F12" s="2"/>
      <c r="G12" s="2"/>
    </row>
    <row r="13" spans="1:7" ht="27.75" customHeight="1" x14ac:dyDescent="0.3">
      <c r="A13" s="2"/>
      <c r="B13" s="44" t="s">
        <v>5</v>
      </c>
      <c r="C13" s="43"/>
      <c r="D13" s="43"/>
      <c r="E13" s="43"/>
      <c r="F13" s="43"/>
      <c r="G13" s="43"/>
    </row>
    <row r="14" spans="1:7" ht="15" customHeight="1" x14ac:dyDescent="0.3">
      <c r="A14" s="2"/>
      <c r="B14" s="2"/>
      <c r="C14" s="2"/>
      <c r="D14" s="2"/>
      <c r="E14" s="2"/>
      <c r="F14" s="2"/>
      <c r="G14" s="2"/>
    </row>
    <row r="15" spans="1:7" ht="24" customHeight="1" x14ac:dyDescent="0.3">
      <c r="A15" s="2"/>
      <c r="B15" s="3" t="s">
        <v>6</v>
      </c>
      <c r="C15" s="3" t="s">
        <v>7</v>
      </c>
      <c r="D15" s="2"/>
      <c r="E15" s="45" t="s">
        <v>8</v>
      </c>
      <c r="F15" s="40"/>
      <c r="G15" s="41"/>
    </row>
    <row r="16" spans="1:7" ht="39.75" customHeight="1" x14ac:dyDescent="0.3">
      <c r="A16" s="2"/>
      <c r="B16" s="4" t="s">
        <v>9</v>
      </c>
      <c r="C16" s="46" t="s">
        <v>10</v>
      </c>
      <c r="D16" s="41"/>
      <c r="E16" s="39" t="s">
        <v>11</v>
      </c>
      <c r="F16" s="40"/>
      <c r="G16" s="41"/>
    </row>
    <row r="17" spans="1:7" ht="39.75" customHeight="1" x14ac:dyDescent="0.3">
      <c r="A17" s="2"/>
      <c r="B17" s="4" t="s">
        <v>12</v>
      </c>
      <c r="C17" s="46" t="s">
        <v>13</v>
      </c>
      <c r="D17" s="41"/>
      <c r="E17" s="39" t="s">
        <v>14</v>
      </c>
      <c r="F17" s="40"/>
      <c r="G17" s="41"/>
    </row>
    <row r="18" spans="1:7" ht="39.75" customHeight="1" x14ac:dyDescent="0.3">
      <c r="A18" s="2"/>
      <c r="B18" s="4" t="s">
        <v>15</v>
      </c>
      <c r="C18" s="46" t="s">
        <v>16</v>
      </c>
      <c r="D18" s="41"/>
      <c r="E18" s="39" t="s">
        <v>17</v>
      </c>
      <c r="F18" s="40"/>
      <c r="G18" s="41"/>
    </row>
    <row r="19" spans="1:7" ht="39.75" customHeight="1" x14ac:dyDescent="0.3">
      <c r="A19" s="2"/>
      <c r="B19" s="4" t="s">
        <v>18</v>
      </c>
      <c r="C19" s="46" t="s">
        <v>19</v>
      </c>
      <c r="D19" s="41"/>
      <c r="E19" s="39" t="s">
        <v>20</v>
      </c>
      <c r="F19" s="40"/>
      <c r="G19" s="41"/>
    </row>
    <row r="20" spans="1:7" ht="39.75" customHeight="1" x14ac:dyDescent="0.3">
      <c r="A20" s="2"/>
      <c r="B20" s="4" t="s">
        <v>21</v>
      </c>
      <c r="C20" s="46" t="s">
        <v>22</v>
      </c>
      <c r="D20" s="41"/>
      <c r="E20" s="39" t="s">
        <v>23</v>
      </c>
      <c r="F20" s="40"/>
      <c r="G20" s="41"/>
    </row>
    <row r="21" spans="1:7" ht="15" customHeight="1" x14ac:dyDescent="0.3">
      <c r="A21" s="2"/>
      <c r="B21" s="2"/>
      <c r="C21" s="2"/>
      <c r="D21" s="2"/>
      <c r="E21" s="2"/>
      <c r="F21" s="2"/>
      <c r="G21" s="2"/>
    </row>
    <row r="22" spans="1:7" ht="27.75" customHeight="1" x14ac:dyDescent="0.3">
      <c r="A22" s="2"/>
      <c r="B22" s="44" t="s">
        <v>24</v>
      </c>
      <c r="C22" s="43"/>
      <c r="D22" s="43"/>
      <c r="E22" s="43"/>
      <c r="F22" s="43"/>
      <c r="G22" s="43"/>
    </row>
    <row r="23" spans="1:7" ht="15" customHeight="1" x14ac:dyDescent="0.3">
      <c r="A23" s="2"/>
      <c r="B23" s="2"/>
      <c r="C23" s="2"/>
      <c r="D23" s="2"/>
      <c r="E23" s="2"/>
      <c r="F23" s="2"/>
      <c r="G23" s="2"/>
    </row>
    <row r="24" spans="1:7" ht="24" customHeight="1" x14ac:dyDescent="0.3">
      <c r="A24" s="2"/>
      <c r="B24" s="47" t="s">
        <v>25</v>
      </c>
      <c r="C24" s="43"/>
      <c r="D24" s="43"/>
      <c r="E24" s="43"/>
      <c r="F24" s="43"/>
      <c r="G24" s="43"/>
    </row>
    <row r="25" spans="1:7" ht="24" customHeight="1" x14ac:dyDescent="0.3">
      <c r="A25" s="2"/>
      <c r="B25" s="47" t="s">
        <v>26</v>
      </c>
      <c r="C25" s="43"/>
      <c r="D25" s="43"/>
      <c r="E25" s="43"/>
      <c r="F25" s="43"/>
      <c r="G25" s="43"/>
    </row>
    <row r="26" spans="1:7" ht="24" customHeight="1" x14ac:dyDescent="0.3">
      <c r="A26" s="2"/>
      <c r="B26" s="47" t="s">
        <v>27</v>
      </c>
      <c r="C26" s="43"/>
      <c r="D26" s="43"/>
      <c r="E26" s="43"/>
      <c r="F26" s="43"/>
      <c r="G26" s="43"/>
    </row>
    <row r="27" spans="1:7" ht="24" customHeight="1" x14ac:dyDescent="0.3">
      <c r="A27" s="2"/>
      <c r="B27" s="47" t="s">
        <v>28</v>
      </c>
      <c r="C27" s="43"/>
      <c r="D27" s="43"/>
      <c r="E27" s="43"/>
      <c r="F27" s="43"/>
      <c r="G27" s="43"/>
    </row>
    <row r="28" spans="1:7" ht="24" customHeight="1" x14ac:dyDescent="0.3">
      <c r="A28" s="2"/>
      <c r="B28" s="47" t="s">
        <v>29</v>
      </c>
      <c r="C28" s="43"/>
      <c r="D28" s="43"/>
      <c r="E28" s="43"/>
      <c r="F28" s="43"/>
      <c r="G28" s="43"/>
    </row>
    <row r="29" spans="1:7" ht="15" customHeight="1" x14ac:dyDescent="0.3">
      <c r="A29" s="2"/>
      <c r="B29" s="2"/>
      <c r="C29" s="2"/>
      <c r="D29" s="2"/>
      <c r="E29" s="2"/>
      <c r="F29" s="2"/>
      <c r="G29" s="2"/>
    </row>
    <row r="30" spans="1:7" ht="15" customHeight="1" x14ac:dyDescent="0.3">
      <c r="A30" s="2"/>
      <c r="B30" s="2"/>
      <c r="C30" s="2"/>
      <c r="D30" s="2"/>
      <c r="E30" s="2"/>
      <c r="F30" s="2"/>
      <c r="G30" s="2"/>
    </row>
    <row r="31" spans="1:7" ht="25.5" customHeight="1" x14ac:dyDescent="0.3">
      <c r="A31" s="2"/>
      <c r="B31" s="52" t="s">
        <v>30</v>
      </c>
      <c r="C31" s="43"/>
      <c r="D31" s="43"/>
      <c r="E31" s="43"/>
      <c r="F31" s="43"/>
      <c r="G31" s="43"/>
    </row>
    <row r="32" spans="1:7" ht="30" customHeight="1" x14ac:dyDescent="0.3">
      <c r="A32" s="2"/>
      <c r="B32" s="50" t="s">
        <v>31</v>
      </c>
      <c r="C32" s="43"/>
      <c r="D32" s="43"/>
      <c r="E32" s="43"/>
      <c r="F32" s="43"/>
      <c r="G32" s="43"/>
    </row>
    <row r="33" spans="1:7" ht="15" customHeight="1" x14ac:dyDescent="0.3">
      <c r="A33" s="2"/>
      <c r="B33" s="2"/>
      <c r="C33" s="2"/>
      <c r="D33" s="2"/>
      <c r="E33" s="2"/>
      <c r="F33" s="2"/>
      <c r="G33" s="2"/>
    </row>
    <row r="34" spans="1:7" ht="15" customHeight="1" x14ac:dyDescent="0.3">
      <c r="A34" s="2"/>
      <c r="B34" s="2"/>
      <c r="C34" s="2"/>
      <c r="D34" s="2"/>
      <c r="E34" s="2"/>
      <c r="F34" s="2"/>
      <c r="G34" s="2"/>
    </row>
  </sheetData>
  <mergeCells count="26">
    <mergeCell ref="B3:G3"/>
    <mergeCell ref="B22:G22"/>
    <mergeCell ref="B31:G31"/>
    <mergeCell ref="C19:D19"/>
    <mergeCell ref="B27:G27"/>
    <mergeCell ref="E17:G17"/>
    <mergeCell ref="C18:D18"/>
    <mergeCell ref="E20:G20"/>
    <mergeCell ref="B11:G11"/>
    <mergeCell ref="B5:G5"/>
    <mergeCell ref="B32:G32"/>
    <mergeCell ref="E18:G18"/>
    <mergeCell ref="B26:G26"/>
    <mergeCell ref="C17:D17"/>
    <mergeCell ref="B25:G25"/>
    <mergeCell ref="B28:G28"/>
    <mergeCell ref="C16:D16"/>
    <mergeCell ref="B9:G9"/>
    <mergeCell ref="B6:G6"/>
    <mergeCell ref="B24:G24"/>
    <mergeCell ref="E16:G16"/>
    <mergeCell ref="E19:G19"/>
    <mergeCell ref="B8:G8"/>
    <mergeCell ref="B13:G13"/>
    <mergeCell ref="E15:G15"/>
    <mergeCell ref="C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50"/>
  <sheetViews>
    <sheetView showGridLines="0" topLeftCell="A13" zoomScaleNormal="100" workbookViewId="0"/>
  </sheetViews>
  <sheetFormatPr defaultColWidth="8.6640625" defaultRowHeight="14.4" x14ac:dyDescent="0.3"/>
  <cols>
    <col min="1" max="1" width="3" style="1" customWidth="1"/>
    <col min="2" max="2" width="22" style="1" customWidth="1"/>
    <col min="3" max="3" width="18" style="1" customWidth="1"/>
    <col min="4" max="4" width="60" style="1" customWidth="1"/>
    <col min="5" max="6" width="35" style="1" customWidth="1"/>
  </cols>
  <sheetData>
    <row r="2" spans="2:6" ht="31.5" customHeight="1" x14ac:dyDescent="0.3">
      <c r="B2" s="55" t="s">
        <v>32</v>
      </c>
      <c r="C2" s="43"/>
      <c r="D2" s="43"/>
      <c r="E2" s="43"/>
      <c r="F2" s="43"/>
    </row>
    <row r="3" spans="2:6" ht="21.75" customHeight="1" x14ac:dyDescent="0.3">
      <c r="B3" s="57" t="s">
        <v>33</v>
      </c>
      <c r="C3" s="43"/>
      <c r="D3" s="43"/>
      <c r="E3" s="43"/>
      <c r="F3" s="43"/>
    </row>
    <row r="5" spans="2:6" ht="25.5" customHeight="1" x14ac:dyDescent="0.3">
      <c r="B5" s="56" t="s">
        <v>34</v>
      </c>
      <c r="C5" s="43"/>
      <c r="D5" s="43"/>
      <c r="E5" s="43"/>
      <c r="F5" s="43"/>
    </row>
    <row r="6" spans="2:6" ht="24" customHeight="1" x14ac:dyDescent="0.3">
      <c r="B6" s="3" t="s">
        <v>35</v>
      </c>
      <c r="C6" s="3" t="s">
        <v>36</v>
      </c>
      <c r="D6" s="3" t="s">
        <v>37</v>
      </c>
      <c r="E6" s="3" t="s">
        <v>38</v>
      </c>
      <c r="F6" s="3" t="s">
        <v>39</v>
      </c>
    </row>
    <row r="7" spans="2:6" ht="37.5" customHeight="1" x14ac:dyDescent="0.3">
      <c r="B7" s="5" t="s">
        <v>40</v>
      </c>
      <c r="C7" s="5" t="s">
        <v>41</v>
      </c>
      <c r="D7" s="6" t="s">
        <v>42</v>
      </c>
      <c r="E7" s="6">
        <v>6</v>
      </c>
      <c r="F7" s="6" t="s">
        <v>43</v>
      </c>
    </row>
    <row r="8" spans="2:6" ht="37.5" customHeight="1" x14ac:dyDescent="0.3">
      <c r="B8" s="5" t="s">
        <v>44</v>
      </c>
      <c r="C8" s="5" t="s">
        <v>45</v>
      </c>
      <c r="D8" s="6" t="s">
        <v>46</v>
      </c>
      <c r="E8" s="6">
        <v>5</v>
      </c>
      <c r="F8" s="6" t="s">
        <v>47</v>
      </c>
    </row>
    <row r="9" spans="2:6" ht="37.5" customHeight="1" x14ac:dyDescent="0.3">
      <c r="B9" s="5" t="s">
        <v>48</v>
      </c>
      <c r="C9" s="5" t="s">
        <v>49</v>
      </c>
      <c r="D9" s="6" t="s">
        <v>50</v>
      </c>
      <c r="E9" s="6">
        <v>4</v>
      </c>
      <c r="F9" s="6" t="s">
        <v>51</v>
      </c>
    </row>
    <row r="10" spans="2:6" ht="37.5" customHeight="1" x14ac:dyDescent="0.3">
      <c r="B10" s="5" t="s">
        <v>52</v>
      </c>
      <c r="C10" s="5" t="s">
        <v>53</v>
      </c>
      <c r="D10" s="6" t="s">
        <v>54</v>
      </c>
      <c r="E10" s="6">
        <v>3</v>
      </c>
      <c r="F10" s="6" t="s">
        <v>55</v>
      </c>
    </row>
    <row r="11" spans="2:6" ht="37.5" customHeight="1" x14ac:dyDescent="0.3">
      <c r="B11" s="5" t="s">
        <v>56</v>
      </c>
      <c r="C11" s="5" t="s">
        <v>57</v>
      </c>
      <c r="D11" s="6" t="s">
        <v>58</v>
      </c>
      <c r="E11" s="6">
        <v>2</v>
      </c>
      <c r="F11" s="6" t="s">
        <v>59</v>
      </c>
    </row>
    <row r="12" spans="2:6" ht="37.5" customHeight="1" x14ac:dyDescent="0.3">
      <c r="B12" s="5" t="s">
        <v>60</v>
      </c>
      <c r="C12" s="5" t="s">
        <v>61</v>
      </c>
      <c r="D12" s="6" t="s">
        <v>62</v>
      </c>
      <c r="E12" s="6">
        <v>1</v>
      </c>
      <c r="F12" s="6" t="s">
        <v>63</v>
      </c>
    </row>
    <row r="14" spans="2:6" ht="7.5" customHeight="1" x14ac:dyDescent="0.3"/>
    <row r="15" spans="2:6" ht="25.5" customHeight="1" x14ac:dyDescent="0.3">
      <c r="B15" s="56" t="s">
        <v>64</v>
      </c>
      <c r="C15" s="43"/>
      <c r="D15" s="43"/>
      <c r="E15" s="43"/>
      <c r="F15" s="43"/>
    </row>
    <row r="16" spans="2:6" ht="24" customHeight="1" x14ac:dyDescent="0.3">
      <c r="B16" s="54" t="s">
        <v>65</v>
      </c>
      <c r="C16" s="43"/>
      <c r="D16" s="43"/>
      <c r="E16" s="43"/>
      <c r="F16" s="43"/>
    </row>
    <row r="17" spans="2:6" ht="27.75" customHeight="1" x14ac:dyDescent="0.3">
      <c r="B17" s="7" t="s">
        <v>66</v>
      </c>
      <c r="C17" s="7" t="s">
        <v>67</v>
      </c>
      <c r="D17" s="7" t="s">
        <v>7</v>
      </c>
      <c r="E17" s="7" t="s">
        <v>68</v>
      </c>
      <c r="F17" s="7" t="s">
        <v>69</v>
      </c>
    </row>
    <row r="18" spans="2:6" ht="45" customHeight="1" x14ac:dyDescent="0.3">
      <c r="B18" s="8" t="s">
        <v>70</v>
      </c>
      <c r="C18" s="9" t="s">
        <v>71</v>
      </c>
      <c r="D18" s="9" t="s">
        <v>72</v>
      </c>
      <c r="E18" s="9" t="s">
        <v>73</v>
      </c>
      <c r="F18" s="10" t="s">
        <v>74</v>
      </c>
    </row>
    <row r="19" spans="2:6" ht="45" customHeight="1" x14ac:dyDescent="0.3">
      <c r="B19" s="8" t="s">
        <v>75</v>
      </c>
      <c r="C19" s="9" t="s">
        <v>71</v>
      </c>
      <c r="D19" s="9" t="s">
        <v>76</v>
      </c>
      <c r="E19" s="9" t="s">
        <v>77</v>
      </c>
      <c r="F19" s="10" t="s">
        <v>78</v>
      </c>
    </row>
    <row r="20" spans="2:6" ht="45" customHeight="1" x14ac:dyDescent="0.3">
      <c r="B20" s="8" t="s">
        <v>79</v>
      </c>
      <c r="C20" s="9" t="s">
        <v>80</v>
      </c>
      <c r="D20" s="9" t="s">
        <v>81</v>
      </c>
      <c r="E20" s="9" t="s">
        <v>82</v>
      </c>
      <c r="F20" s="10" t="s">
        <v>83</v>
      </c>
    </row>
    <row r="21" spans="2:6" ht="45" customHeight="1" x14ac:dyDescent="0.3">
      <c r="B21" s="8" t="s">
        <v>84</v>
      </c>
      <c r="C21" s="9" t="s">
        <v>80</v>
      </c>
      <c r="D21" s="9" t="s">
        <v>85</v>
      </c>
      <c r="E21" s="9" t="s">
        <v>86</v>
      </c>
      <c r="F21" s="10" t="s">
        <v>87</v>
      </c>
    </row>
    <row r="22" spans="2:6" ht="45" customHeight="1" x14ac:dyDescent="0.3">
      <c r="B22" s="8" t="s">
        <v>88</v>
      </c>
      <c r="C22" s="9" t="s">
        <v>89</v>
      </c>
      <c r="D22" s="9" t="s">
        <v>90</v>
      </c>
      <c r="E22" s="9" t="s">
        <v>91</v>
      </c>
      <c r="F22" s="10" t="s">
        <v>92</v>
      </c>
    </row>
    <row r="23" spans="2:6" ht="45" customHeight="1" x14ac:dyDescent="0.3">
      <c r="B23" s="8" t="s">
        <v>93</v>
      </c>
      <c r="C23" s="9" t="s">
        <v>89</v>
      </c>
      <c r="D23" s="9" t="s">
        <v>94</v>
      </c>
      <c r="E23" s="9" t="s">
        <v>95</v>
      </c>
      <c r="F23" s="10" t="s">
        <v>96</v>
      </c>
    </row>
    <row r="25" spans="2:6" ht="24" customHeight="1" x14ac:dyDescent="0.3">
      <c r="B25" s="54" t="s">
        <v>97</v>
      </c>
      <c r="C25" s="43"/>
      <c r="D25" s="43"/>
      <c r="E25" s="43"/>
      <c r="F25" s="43"/>
    </row>
    <row r="26" spans="2:6" ht="27.75" customHeight="1" x14ac:dyDescent="0.3">
      <c r="B26" s="7" t="s">
        <v>66</v>
      </c>
      <c r="C26" s="7" t="s">
        <v>67</v>
      </c>
      <c r="D26" s="7" t="s">
        <v>7</v>
      </c>
      <c r="E26" s="7" t="s">
        <v>68</v>
      </c>
      <c r="F26" s="7" t="s">
        <v>69</v>
      </c>
    </row>
    <row r="27" spans="2:6" ht="45" customHeight="1" x14ac:dyDescent="0.3">
      <c r="B27" s="8" t="s">
        <v>98</v>
      </c>
      <c r="C27" s="9" t="s">
        <v>71</v>
      </c>
      <c r="D27" s="9" t="s">
        <v>99</v>
      </c>
      <c r="E27" s="9" t="s">
        <v>100</v>
      </c>
      <c r="F27" s="10" t="s">
        <v>101</v>
      </c>
    </row>
    <row r="28" spans="2:6" ht="45" customHeight="1" x14ac:dyDescent="0.3">
      <c r="B28" s="8" t="s">
        <v>102</v>
      </c>
      <c r="C28" s="9" t="s">
        <v>103</v>
      </c>
      <c r="D28" s="9" t="s">
        <v>104</v>
      </c>
      <c r="E28" s="9" t="s">
        <v>105</v>
      </c>
      <c r="F28" s="10" t="s">
        <v>106</v>
      </c>
    </row>
    <row r="29" spans="2:6" ht="45" customHeight="1" x14ac:dyDescent="0.3">
      <c r="B29" s="8" t="s">
        <v>107</v>
      </c>
      <c r="C29" s="9" t="s">
        <v>103</v>
      </c>
      <c r="D29" s="9" t="s">
        <v>108</v>
      </c>
      <c r="E29" s="9" t="s">
        <v>109</v>
      </c>
      <c r="F29" s="10" t="s">
        <v>110</v>
      </c>
    </row>
    <row r="30" spans="2:6" ht="45" customHeight="1" x14ac:dyDescent="0.3">
      <c r="B30" s="8" t="s">
        <v>111</v>
      </c>
      <c r="C30" s="9" t="s">
        <v>80</v>
      </c>
      <c r="D30" s="9" t="s">
        <v>112</v>
      </c>
      <c r="E30" s="9" t="s">
        <v>113</v>
      </c>
      <c r="F30" s="10" t="s">
        <v>114</v>
      </c>
    </row>
    <row r="31" spans="2:6" ht="45" customHeight="1" x14ac:dyDescent="0.3">
      <c r="B31" s="8" t="s">
        <v>115</v>
      </c>
      <c r="C31" s="9" t="s">
        <v>89</v>
      </c>
      <c r="D31" s="9" t="s">
        <v>116</v>
      </c>
      <c r="E31" s="9" t="s">
        <v>117</v>
      </c>
      <c r="F31" s="10" t="s">
        <v>118</v>
      </c>
    </row>
    <row r="32" spans="2:6" ht="45" customHeight="1" x14ac:dyDescent="0.3">
      <c r="B32" s="8" t="s">
        <v>119</v>
      </c>
      <c r="C32" s="9" t="s">
        <v>89</v>
      </c>
      <c r="D32" s="9" t="s">
        <v>120</v>
      </c>
      <c r="E32" s="9" t="s">
        <v>121</v>
      </c>
      <c r="F32" s="10" t="s">
        <v>122</v>
      </c>
    </row>
    <row r="34" spans="2:6" ht="24" customHeight="1" x14ac:dyDescent="0.3">
      <c r="B34" s="54" t="s">
        <v>123</v>
      </c>
      <c r="C34" s="43"/>
      <c r="D34" s="43"/>
      <c r="E34" s="43"/>
      <c r="F34" s="43"/>
    </row>
    <row r="35" spans="2:6" ht="27.75" customHeight="1" x14ac:dyDescent="0.3">
      <c r="B35" s="7" t="s">
        <v>66</v>
      </c>
      <c r="C35" s="7" t="s">
        <v>67</v>
      </c>
      <c r="D35" s="7" t="s">
        <v>7</v>
      </c>
      <c r="E35" s="7" t="s">
        <v>68</v>
      </c>
      <c r="F35" s="7" t="s">
        <v>69</v>
      </c>
    </row>
    <row r="36" spans="2:6" ht="45" customHeight="1" x14ac:dyDescent="0.3">
      <c r="B36" s="8" t="s">
        <v>124</v>
      </c>
      <c r="C36" s="9" t="s">
        <v>71</v>
      </c>
      <c r="D36" s="9" t="s">
        <v>125</v>
      </c>
      <c r="E36" s="9" t="s">
        <v>126</v>
      </c>
      <c r="F36" s="10" t="s">
        <v>127</v>
      </c>
    </row>
    <row r="37" spans="2:6" ht="45" customHeight="1" x14ac:dyDescent="0.3">
      <c r="B37" s="8" t="s">
        <v>128</v>
      </c>
      <c r="C37" s="9" t="s">
        <v>71</v>
      </c>
      <c r="D37" s="9" t="s">
        <v>129</v>
      </c>
      <c r="E37" s="9" t="s">
        <v>130</v>
      </c>
      <c r="F37" s="10" t="s">
        <v>131</v>
      </c>
    </row>
    <row r="38" spans="2:6" ht="45" customHeight="1" x14ac:dyDescent="0.3">
      <c r="B38" s="8" t="s">
        <v>132</v>
      </c>
      <c r="C38" s="9" t="s">
        <v>103</v>
      </c>
      <c r="D38" s="9" t="s">
        <v>133</v>
      </c>
      <c r="E38" s="9" t="s">
        <v>134</v>
      </c>
      <c r="F38" s="10" t="s">
        <v>135</v>
      </c>
    </row>
    <row r="39" spans="2:6" ht="45" customHeight="1" x14ac:dyDescent="0.3">
      <c r="B39" s="8" t="s">
        <v>136</v>
      </c>
      <c r="C39" s="9" t="s">
        <v>80</v>
      </c>
      <c r="D39" s="9" t="s">
        <v>137</v>
      </c>
      <c r="E39" s="9" t="s">
        <v>138</v>
      </c>
      <c r="F39" s="10" t="s">
        <v>139</v>
      </c>
    </row>
    <row r="40" spans="2:6" ht="45" customHeight="1" x14ac:dyDescent="0.3">
      <c r="B40" s="8" t="s">
        <v>140</v>
      </c>
      <c r="C40" s="9" t="s">
        <v>89</v>
      </c>
      <c r="D40" s="9" t="s">
        <v>141</v>
      </c>
      <c r="E40" s="9" t="s">
        <v>142</v>
      </c>
      <c r="F40" s="10" t="s">
        <v>143</v>
      </c>
    </row>
    <row r="41" spans="2:6" ht="45" customHeight="1" x14ac:dyDescent="0.3">
      <c r="B41" s="8" t="s">
        <v>144</v>
      </c>
      <c r="C41" s="9" t="s">
        <v>145</v>
      </c>
      <c r="D41" s="9" t="s">
        <v>146</v>
      </c>
      <c r="E41" s="9" t="s">
        <v>147</v>
      </c>
      <c r="F41" s="10" t="s">
        <v>148</v>
      </c>
    </row>
    <row r="43" spans="2:6" ht="24" customHeight="1" x14ac:dyDescent="0.3">
      <c r="B43" s="54" t="s">
        <v>149</v>
      </c>
      <c r="C43" s="43"/>
      <c r="D43" s="43"/>
      <c r="E43" s="43"/>
      <c r="F43" s="43"/>
    </row>
    <row r="44" spans="2:6" ht="27.75" customHeight="1" x14ac:dyDescent="0.3">
      <c r="B44" s="7" t="s">
        <v>66</v>
      </c>
      <c r="C44" s="7" t="s">
        <v>67</v>
      </c>
      <c r="D44" s="7" t="s">
        <v>7</v>
      </c>
      <c r="E44" s="7" t="s">
        <v>68</v>
      </c>
      <c r="F44" s="7" t="s">
        <v>69</v>
      </c>
    </row>
    <row r="45" spans="2:6" ht="45" customHeight="1" x14ac:dyDescent="0.3">
      <c r="B45" s="8" t="s">
        <v>150</v>
      </c>
      <c r="C45" s="9" t="s">
        <v>71</v>
      </c>
      <c r="D45" s="9" t="s">
        <v>151</v>
      </c>
      <c r="E45" s="9" t="s">
        <v>152</v>
      </c>
      <c r="F45" s="10" t="s">
        <v>153</v>
      </c>
    </row>
    <row r="46" spans="2:6" ht="45" customHeight="1" x14ac:dyDescent="0.3">
      <c r="B46" s="8" t="s">
        <v>154</v>
      </c>
      <c r="C46" s="9" t="s">
        <v>71</v>
      </c>
      <c r="D46" s="9" t="s">
        <v>155</v>
      </c>
      <c r="E46" s="9" t="s">
        <v>156</v>
      </c>
      <c r="F46" s="10" t="s">
        <v>157</v>
      </c>
    </row>
    <row r="47" spans="2:6" ht="45" customHeight="1" x14ac:dyDescent="0.3">
      <c r="B47" s="8" t="s">
        <v>158</v>
      </c>
      <c r="C47" s="9" t="s">
        <v>103</v>
      </c>
      <c r="D47" s="9" t="s">
        <v>159</v>
      </c>
      <c r="E47" s="9" t="s">
        <v>160</v>
      </c>
      <c r="F47" s="10" t="s">
        <v>161</v>
      </c>
    </row>
    <row r="48" spans="2:6" ht="45" customHeight="1" x14ac:dyDescent="0.3">
      <c r="B48" s="8" t="s">
        <v>162</v>
      </c>
      <c r="C48" s="9" t="s">
        <v>80</v>
      </c>
      <c r="D48" s="9" t="s">
        <v>163</v>
      </c>
      <c r="E48" s="9" t="s">
        <v>164</v>
      </c>
      <c r="F48" s="10" t="s">
        <v>165</v>
      </c>
    </row>
    <row r="49" spans="2:6" ht="45" customHeight="1" x14ac:dyDescent="0.3">
      <c r="B49" s="8" t="s">
        <v>166</v>
      </c>
      <c r="C49" s="9" t="s">
        <v>89</v>
      </c>
      <c r="D49" s="9" t="s">
        <v>167</v>
      </c>
      <c r="E49" s="9" t="s">
        <v>168</v>
      </c>
      <c r="F49" s="10" t="s">
        <v>169</v>
      </c>
    </row>
    <row r="50" spans="2:6" ht="45" customHeight="1" x14ac:dyDescent="0.3">
      <c r="B50" s="8" t="s">
        <v>170</v>
      </c>
      <c r="C50" s="9" t="s">
        <v>145</v>
      </c>
      <c r="D50" s="9" t="s">
        <v>171</v>
      </c>
      <c r="E50" s="9" t="s">
        <v>172</v>
      </c>
      <c r="F50" s="10" t="s">
        <v>173</v>
      </c>
    </row>
  </sheetData>
  <mergeCells count="8">
    <mergeCell ref="B43:F43"/>
    <mergeCell ref="B2:F2"/>
    <mergeCell ref="B16:F16"/>
    <mergeCell ref="B15:F15"/>
    <mergeCell ref="B34:F34"/>
    <mergeCell ref="B25:F25"/>
    <mergeCell ref="B3:F3"/>
    <mergeCell ref="B5:F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36"/>
  <sheetViews>
    <sheetView showGridLines="0" zoomScaleNormal="100" workbookViewId="0"/>
  </sheetViews>
  <sheetFormatPr defaultColWidth="8.6640625" defaultRowHeight="14.4" x14ac:dyDescent="0.3"/>
  <cols>
    <col min="1" max="1" width="3" style="1" customWidth="1"/>
    <col min="2" max="2" width="25" style="1" customWidth="1"/>
    <col min="3" max="3" width="65" style="1" customWidth="1"/>
    <col min="4" max="4" width="25" style="1" customWidth="1"/>
  </cols>
  <sheetData>
    <row r="2" spans="2:4" ht="31.5" customHeight="1" x14ac:dyDescent="0.3">
      <c r="B2" s="55" t="s">
        <v>174</v>
      </c>
      <c r="C2" s="43"/>
      <c r="D2" s="43"/>
    </row>
    <row r="3" spans="2:4" ht="21.75" customHeight="1" x14ac:dyDescent="0.3">
      <c r="B3" s="57" t="s">
        <v>175</v>
      </c>
      <c r="C3" s="43"/>
      <c r="D3" s="43"/>
    </row>
    <row r="5" spans="2:4" ht="25.5" customHeight="1" x14ac:dyDescent="0.3">
      <c r="B5" s="56" t="s">
        <v>176</v>
      </c>
      <c r="C5" s="43"/>
      <c r="D5" s="43"/>
    </row>
    <row r="6" spans="2:4" ht="31.5" customHeight="1" x14ac:dyDescent="0.3">
      <c r="B6" s="8" t="s">
        <v>177</v>
      </c>
      <c r="C6" s="58" t="s">
        <v>178</v>
      </c>
      <c r="D6" s="41"/>
    </row>
    <row r="7" spans="2:4" ht="31.5" customHeight="1" x14ac:dyDescent="0.3">
      <c r="B7" s="8" t="s">
        <v>179</v>
      </c>
      <c r="C7" s="58" t="s">
        <v>180</v>
      </c>
      <c r="D7" s="41"/>
    </row>
    <row r="8" spans="2:4" ht="31.5" customHeight="1" x14ac:dyDescent="0.3">
      <c r="B8" s="8" t="s">
        <v>181</v>
      </c>
      <c r="C8" s="58" t="s">
        <v>182</v>
      </c>
      <c r="D8" s="41"/>
    </row>
    <row r="9" spans="2:4" ht="31.5" customHeight="1" x14ac:dyDescent="0.3">
      <c r="B9" s="8" t="s">
        <v>183</v>
      </c>
      <c r="C9" s="58" t="s">
        <v>184</v>
      </c>
      <c r="D9" s="41"/>
    </row>
    <row r="10" spans="2:4" ht="31.5" customHeight="1" x14ac:dyDescent="0.3">
      <c r="B10" s="8" t="s">
        <v>185</v>
      </c>
      <c r="C10" s="58" t="s">
        <v>186</v>
      </c>
      <c r="D10" s="41"/>
    </row>
    <row r="11" spans="2:4" ht="31.5" customHeight="1" x14ac:dyDescent="0.3">
      <c r="B11" s="8" t="s">
        <v>187</v>
      </c>
      <c r="C11" s="58" t="s">
        <v>188</v>
      </c>
      <c r="D11" s="41"/>
    </row>
    <row r="13" spans="2:4" ht="25.5" customHeight="1" x14ac:dyDescent="0.3">
      <c r="B13" s="56" t="s">
        <v>189</v>
      </c>
      <c r="C13" s="43"/>
      <c r="D13" s="43"/>
    </row>
    <row r="14" spans="2:4" ht="24" customHeight="1" x14ac:dyDescent="0.3">
      <c r="B14" s="7" t="s">
        <v>190</v>
      </c>
      <c r="C14" s="7" t="s">
        <v>191</v>
      </c>
      <c r="D14" s="7" t="s">
        <v>192</v>
      </c>
    </row>
    <row r="15" spans="2:4" ht="69.75" customHeight="1" x14ac:dyDescent="0.3">
      <c r="B15" s="11" t="s">
        <v>193</v>
      </c>
      <c r="C15" s="9" t="s">
        <v>194</v>
      </c>
      <c r="D15" s="10" t="s">
        <v>195</v>
      </c>
    </row>
    <row r="16" spans="2:4" ht="69.75" customHeight="1" x14ac:dyDescent="0.3">
      <c r="B16" s="11" t="s">
        <v>196</v>
      </c>
      <c r="C16" s="9" t="s">
        <v>197</v>
      </c>
      <c r="D16" s="10" t="s">
        <v>198</v>
      </c>
    </row>
    <row r="17" spans="2:4" ht="69.75" customHeight="1" x14ac:dyDescent="0.3">
      <c r="B17" s="11" t="s">
        <v>199</v>
      </c>
      <c r="C17" s="9" t="s">
        <v>200</v>
      </c>
      <c r="D17" s="10" t="s">
        <v>201</v>
      </c>
    </row>
    <row r="18" spans="2:4" ht="69.75" customHeight="1" x14ac:dyDescent="0.3">
      <c r="B18" s="11" t="s">
        <v>202</v>
      </c>
      <c r="C18" s="9" t="s">
        <v>203</v>
      </c>
      <c r="D18" s="10" t="s">
        <v>204</v>
      </c>
    </row>
    <row r="20" spans="2:4" ht="25.5" customHeight="1" x14ac:dyDescent="0.3">
      <c r="B20" s="56" t="s">
        <v>205</v>
      </c>
      <c r="C20" s="43"/>
      <c r="D20" s="43"/>
    </row>
    <row r="21" spans="2:4" ht="24" customHeight="1" x14ac:dyDescent="0.3">
      <c r="B21" s="7" t="s">
        <v>206</v>
      </c>
      <c r="C21" s="7" t="s">
        <v>207</v>
      </c>
      <c r="D21" s="7" t="s">
        <v>208</v>
      </c>
    </row>
    <row r="22" spans="2:4" ht="49.5" customHeight="1" x14ac:dyDescent="0.3">
      <c r="B22" s="8" t="s">
        <v>209</v>
      </c>
      <c r="C22" s="9" t="s">
        <v>210</v>
      </c>
      <c r="D22" s="9" t="s">
        <v>211</v>
      </c>
    </row>
    <row r="23" spans="2:4" ht="49.5" customHeight="1" x14ac:dyDescent="0.3">
      <c r="B23" s="8" t="s">
        <v>212</v>
      </c>
      <c r="C23" s="9" t="s">
        <v>213</v>
      </c>
      <c r="D23" s="9" t="s">
        <v>214</v>
      </c>
    </row>
    <row r="24" spans="2:4" ht="49.5" customHeight="1" x14ac:dyDescent="0.3">
      <c r="B24" s="8" t="s">
        <v>215</v>
      </c>
      <c r="C24" s="9" t="s">
        <v>216</v>
      </c>
      <c r="D24" s="9" t="s">
        <v>217</v>
      </c>
    </row>
    <row r="25" spans="2:4" ht="49.5" customHeight="1" x14ac:dyDescent="0.3">
      <c r="B25" s="8" t="s">
        <v>218</v>
      </c>
      <c r="C25" s="9" t="s">
        <v>219</v>
      </c>
      <c r="D25" s="9" t="s">
        <v>220</v>
      </c>
    </row>
    <row r="26" spans="2:4" ht="49.5" customHeight="1" x14ac:dyDescent="0.3">
      <c r="B26" s="8" t="s">
        <v>221</v>
      </c>
      <c r="C26" s="9" t="s">
        <v>222</v>
      </c>
      <c r="D26" s="9" t="s">
        <v>223</v>
      </c>
    </row>
    <row r="27" spans="2:4" ht="49.5" customHeight="1" x14ac:dyDescent="0.3">
      <c r="B27" s="8" t="s">
        <v>224</v>
      </c>
      <c r="C27" s="9" t="s">
        <v>225</v>
      </c>
      <c r="D27" s="9" t="s">
        <v>226</v>
      </c>
    </row>
    <row r="28" spans="2:4" ht="49.5" customHeight="1" x14ac:dyDescent="0.3">
      <c r="B28" s="8" t="s">
        <v>227</v>
      </c>
      <c r="C28" s="9" t="s">
        <v>228</v>
      </c>
      <c r="D28" s="9" t="s">
        <v>229</v>
      </c>
    </row>
    <row r="30" spans="2:4" ht="25.5" customHeight="1" x14ac:dyDescent="0.3">
      <c r="B30" s="56" t="s">
        <v>230</v>
      </c>
      <c r="C30" s="43"/>
      <c r="D30" s="43"/>
    </row>
    <row r="31" spans="2:4" ht="27.75" customHeight="1" x14ac:dyDescent="0.3">
      <c r="B31" s="8" t="s">
        <v>231</v>
      </c>
      <c r="C31" s="58" t="s">
        <v>232</v>
      </c>
      <c r="D31" s="41"/>
    </row>
    <row r="32" spans="2:4" ht="27.75" customHeight="1" x14ac:dyDescent="0.3">
      <c r="B32" s="8" t="s">
        <v>233</v>
      </c>
      <c r="C32" s="58" t="s">
        <v>234</v>
      </c>
      <c r="D32" s="41"/>
    </row>
    <row r="33" spans="2:4" ht="27.75" customHeight="1" x14ac:dyDescent="0.3">
      <c r="B33" s="8" t="s">
        <v>235</v>
      </c>
      <c r="C33" s="58" t="s">
        <v>236</v>
      </c>
      <c r="D33" s="41"/>
    </row>
    <row r="34" spans="2:4" ht="27.75" customHeight="1" x14ac:dyDescent="0.3">
      <c r="B34" s="8" t="s">
        <v>237</v>
      </c>
      <c r="C34" s="58" t="s">
        <v>238</v>
      </c>
      <c r="D34" s="41"/>
    </row>
    <row r="35" spans="2:4" ht="27.75" customHeight="1" x14ac:dyDescent="0.3">
      <c r="B35" s="8" t="s">
        <v>239</v>
      </c>
      <c r="C35" s="58" t="s">
        <v>240</v>
      </c>
      <c r="D35" s="41"/>
    </row>
    <row r="36" spans="2:4" ht="27.75" customHeight="1" x14ac:dyDescent="0.3">
      <c r="B36" s="8" t="s">
        <v>241</v>
      </c>
      <c r="C36" s="58" t="s">
        <v>242</v>
      </c>
      <c r="D36" s="41"/>
    </row>
  </sheetData>
  <mergeCells count="18">
    <mergeCell ref="C36:D36"/>
    <mergeCell ref="B13:D13"/>
    <mergeCell ref="B2:D2"/>
    <mergeCell ref="B30:D30"/>
    <mergeCell ref="C9:D9"/>
    <mergeCell ref="C31:D31"/>
    <mergeCell ref="C8:D8"/>
    <mergeCell ref="C35:D35"/>
    <mergeCell ref="C34:D34"/>
    <mergeCell ref="B3:D3"/>
    <mergeCell ref="B5:D5"/>
    <mergeCell ref="C6:D6"/>
    <mergeCell ref="C7:D7"/>
    <mergeCell ref="C10:D10"/>
    <mergeCell ref="C32:D32"/>
    <mergeCell ref="B20:D20"/>
    <mergeCell ref="C33:D33"/>
    <mergeCell ref="C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J43"/>
  <sheetViews>
    <sheetView showGridLines="0" tabSelected="1" topLeftCell="A7" zoomScaleNormal="100" workbookViewId="0">
      <selection activeCell="C19" sqref="C19"/>
    </sheetView>
  </sheetViews>
  <sheetFormatPr defaultColWidth="8.6640625" defaultRowHeight="14.4" x14ac:dyDescent="0.3"/>
  <cols>
    <col min="1" max="1" width="3" style="1" customWidth="1"/>
    <col min="2" max="2" width="20" style="1" customWidth="1"/>
    <col min="3" max="9" width="18" style="1" customWidth="1"/>
    <col min="10" max="10" width="45" style="1" customWidth="1"/>
  </cols>
  <sheetData>
    <row r="2" spans="2:10" ht="31.5" customHeight="1" x14ac:dyDescent="0.3">
      <c r="B2" s="55" t="s">
        <v>243</v>
      </c>
      <c r="C2" s="43"/>
      <c r="D2" s="43"/>
      <c r="E2" s="43"/>
      <c r="F2" s="43"/>
      <c r="G2" s="43"/>
      <c r="H2" s="43"/>
      <c r="I2" s="43"/>
      <c r="J2" s="43"/>
    </row>
    <row r="3" spans="2:10" ht="21.75" customHeight="1" x14ac:dyDescent="0.3">
      <c r="B3" s="57" t="s">
        <v>244</v>
      </c>
      <c r="C3" s="43"/>
      <c r="D3" s="43"/>
      <c r="E3" s="43"/>
      <c r="F3" s="43"/>
      <c r="G3" s="43"/>
      <c r="H3" s="43"/>
      <c r="I3" s="43"/>
      <c r="J3" s="43"/>
    </row>
    <row r="5" spans="2:10" ht="27.75" customHeight="1" x14ac:dyDescent="0.3">
      <c r="B5" s="7" t="s">
        <v>190</v>
      </c>
      <c r="C5" s="7" t="s">
        <v>245</v>
      </c>
      <c r="D5" s="7" t="s">
        <v>246</v>
      </c>
      <c r="E5" s="7" t="s">
        <v>247</v>
      </c>
      <c r="F5" s="7" t="s">
        <v>248</v>
      </c>
      <c r="G5" s="7" t="s">
        <v>249</v>
      </c>
      <c r="H5" s="7" t="s">
        <v>250</v>
      </c>
      <c r="I5" s="7" t="s">
        <v>251</v>
      </c>
      <c r="J5" s="7" t="s">
        <v>252</v>
      </c>
    </row>
    <row r="6" spans="2:10" ht="75" customHeight="1" x14ac:dyDescent="0.3">
      <c r="B6" s="8" t="s">
        <v>193</v>
      </c>
      <c r="C6" s="9" t="s">
        <v>253</v>
      </c>
      <c r="D6" s="9" t="s">
        <v>254</v>
      </c>
      <c r="E6" s="9" t="s">
        <v>255</v>
      </c>
      <c r="F6" s="9" t="s">
        <v>256</v>
      </c>
      <c r="G6" s="9" t="s">
        <v>257</v>
      </c>
      <c r="H6" s="12">
        <f>AVERAGE(C15:G15)</f>
        <v>5.4</v>
      </c>
      <c r="I6" s="9" t="s">
        <v>258</v>
      </c>
      <c r="J6" s="10" t="s">
        <v>259</v>
      </c>
    </row>
    <row r="7" spans="2:10" ht="75" customHeight="1" x14ac:dyDescent="0.3">
      <c r="B7" s="8" t="s">
        <v>196</v>
      </c>
      <c r="C7" s="9" t="s">
        <v>57</v>
      </c>
      <c r="D7" s="9" t="s">
        <v>53</v>
      </c>
      <c r="E7" s="9" t="s">
        <v>260</v>
      </c>
      <c r="F7" s="9" t="s">
        <v>261</v>
      </c>
      <c r="G7" s="9" t="s">
        <v>57</v>
      </c>
      <c r="H7" s="12">
        <f>AVERAGE(C16:G16)</f>
        <v>2.8</v>
      </c>
      <c r="I7" s="9" t="s">
        <v>262</v>
      </c>
      <c r="J7" s="10" t="s">
        <v>263</v>
      </c>
    </row>
    <row r="8" spans="2:10" ht="75" customHeight="1" x14ac:dyDescent="0.3">
      <c r="B8" s="8" t="s">
        <v>199</v>
      </c>
      <c r="C8" s="9" t="s">
        <v>264</v>
      </c>
      <c r="D8" s="9" t="s">
        <v>265</v>
      </c>
      <c r="E8" s="9" t="s">
        <v>266</v>
      </c>
      <c r="F8" s="9" t="s">
        <v>267</v>
      </c>
      <c r="G8" s="9" t="s">
        <v>268</v>
      </c>
      <c r="H8" s="12">
        <f>AVERAGE(C17:G17)</f>
        <v>4.4000000000000004</v>
      </c>
      <c r="I8" s="9" t="s">
        <v>269</v>
      </c>
      <c r="J8" s="10" t="s">
        <v>270</v>
      </c>
    </row>
    <row r="9" spans="2:10" ht="75" customHeight="1" x14ac:dyDescent="0.3">
      <c r="B9" s="8" t="s">
        <v>202</v>
      </c>
      <c r="C9" s="9" t="s">
        <v>423</v>
      </c>
      <c r="D9" s="9" t="s">
        <v>271</v>
      </c>
      <c r="E9" s="9" t="s">
        <v>272</v>
      </c>
      <c r="F9" s="9" t="s">
        <v>273</v>
      </c>
      <c r="G9" s="9" t="s">
        <v>274</v>
      </c>
      <c r="H9" s="12">
        <f>AVERAGE(C18:G18)</f>
        <v>4.2</v>
      </c>
      <c r="I9" s="9" t="s">
        <v>275</v>
      </c>
      <c r="J9" s="10" t="s">
        <v>424</v>
      </c>
    </row>
    <row r="10" spans="2:10" ht="25.5" customHeight="1" x14ac:dyDescent="0.3">
      <c r="B10" s="13" t="s">
        <v>276</v>
      </c>
      <c r="C10" s="14">
        <f>AVERAGE(C15:C18)</f>
        <v>3</v>
      </c>
      <c r="D10" s="14">
        <f>AVERAGE(D15:D18)</f>
        <v>5.25</v>
      </c>
      <c r="E10" s="14">
        <f>AVERAGE(E15:E18)</f>
        <v>5</v>
      </c>
      <c r="F10" s="14">
        <f>AVERAGE(F15:F18)</f>
        <v>4.5</v>
      </c>
      <c r="G10" s="14">
        <f>AVERAGE(G15:G18)</f>
        <v>3.25</v>
      </c>
      <c r="H10" s="14">
        <f>AVERAGE(C10:G10)</f>
        <v>4.2</v>
      </c>
      <c r="I10" s="15"/>
      <c r="J10" s="15"/>
    </row>
    <row r="14" spans="2:10" ht="15" customHeight="1" x14ac:dyDescent="0.3">
      <c r="B14" s="16" t="s">
        <v>190</v>
      </c>
      <c r="C14" s="16" t="s">
        <v>245</v>
      </c>
      <c r="D14" s="16" t="s">
        <v>246</v>
      </c>
      <c r="E14" s="16" t="s">
        <v>247</v>
      </c>
      <c r="F14" s="16" t="s">
        <v>248</v>
      </c>
      <c r="G14" s="16" t="s">
        <v>249</v>
      </c>
    </row>
    <row r="15" spans="2:10" ht="15" customHeight="1" x14ac:dyDescent="0.3">
      <c r="B15" s="17" t="s">
        <v>193</v>
      </c>
      <c r="C15" s="17">
        <v>6</v>
      </c>
      <c r="D15" s="17">
        <v>6</v>
      </c>
      <c r="E15" s="17">
        <v>4</v>
      </c>
      <c r="F15" s="17">
        <v>6</v>
      </c>
      <c r="G15" s="17">
        <v>5</v>
      </c>
    </row>
    <row r="16" spans="2:10" ht="15" customHeight="1" x14ac:dyDescent="0.3">
      <c r="B16" s="17" t="s">
        <v>196</v>
      </c>
      <c r="C16" s="17">
        <v>2</v>
      </c>
      <c r="D16" s="17">
        <v>3</v>
      </c>
      <c r="E16" s="17">
        <v>5</v>
      </c>
      <c r="F16" s="17">
        <v>2</v>
      </c>
      <c r="G16" s="17">
        <v>2</v>
      </c>
    </row>
    <row r="17" spans="2:7" ht="15" customHeight="1" x14ac:dyDescent="0.3">
      <c r="B17" s="17" t="s">
        <v>199</v>
      </c>
      <c r="C17" s="17">
        <v>2</v>
      </c>
      <c r="D17" s="17">
        <v>6</v>
      </c>
      <c r="E17" s="17">
        <v>5</v>
      </c>
      <c r="F17" s="17">
        <v>5</v>
      </c>
      <c r="G17" s="17">
        <v>4</v>
      </c>
    </row>
    <row r="18" spans="2:7" ht="15" customHeight="1" x14ac:dyDescent="0.3">
      <c r="B18" s="17" t="s">
        <v>202</v>
      </c>
      <c r="C18" s="17">
        <v>2</v>
      </c>
      <c r="D18" s="17">
        <v>6</v>
      </c>
      <c r="E18" s="17">
        <v>6</v>
      </c>
      <c r="F18" s="17">
        <v>5</v>
      </c>
      <c r="G18" s="17">
        <v>2</v>
      </c>
    </row>
    <row r="38" spans="2:10" ht="25.5" customHeight="1" x14ac:dyDescent="0.3">
      <c r="B38" s="56" t="s">
        <v>277</v>
      </c>
      <c r="C38" s="43"/>
      <c r="D38" s="43"/>
      <c r="E38" s="43"/>
      <c r="F38" s="43"/>
      <c r="G38" s="43"/>
      <c r="H38" s="43"/>
      <c r="I38" s="43"/>
      <c r="J38" s="43"/>
    </row>
    <row r="39" spans="2:10" ht="49.5" customHeight="1" x14ac:dyDescent="0.3">
      <c r="B39" s="18" t="s">
        <v>245</v>
      </c>
      <c r="C39" s="58" t="s">
        <v>278</v>
      </c>
      <c r="D39" s="40"/>
      <c r="E39" s="40"/>
      <c r="F39" s="40"/>
      <c r="G39" s="40"/>
      <c r="H39" s="40"/>
      <c r="I39" s="40"/>
      <c r="J39" s="41"/>
    </row>
    <row r="40" spans="2:10" ht="49.5" customHeight="1" x14ac:dyDescent="0.3">
      <c r="B40" s="18" t="s">
        <v>246</v>
      </c>
      <c r="C40" s="58" t="s">
        <v>279</v>
      </c>
      <c r="D40" s="40"/>
      <c r="E40" s="40"/>
      <c r="F40" s="40"/>
      <c r="G40" s="40"/>
      <c r="H40" s="40"/>
      <c r="I40" s="40"/>
      <c r="J40" s="41"/>
    </row>
    <row r="41" spans="2:10" ht="49.5" customHeight="1" x14ac:dyDescent="0.3">
      <c r="B41" s="18" t="s">
        <v>247</v>
      </c>
      <c r="C41" s="58" t="s">
        <v>280</v>
      </c>
      <c r="D41" s="40"/>
      <c r="E41" s="40"/>
      <c r="F41" s="40"/>
      <c r="G41" s="40"/>
      <c r="H41" s="40"/>
      <c r="I41" s="40"/>
      <c r="J41" s="41"/>
    </row>
    <row r="42" spans="2:10" ht="49.5" customHeight="1" x14ac:dyDescent="0.3">
      <c r="B42" s="18" t="s">
        <v>248</v>
      </c>
      <c r="C42" s="58" t="s">
        <v>281</v>
      </c>
      <c r="D42" s="40"/>
      <c r="E42" s="40"/>
      <c r="F42" s="40"/>
      <c r="G42" s="40"/>
      <c r="H42" s="40"/>
      <c r="I42" s="40"/>
      <c r="J42" s="41"/>
    </row>
    <row r="43" spans="2:10" ht="49.5" customHeight="1" x14ac:dyDescent="0.3">
      <c r="B43" s="18" t="s">
        <v>249</v>
      </c>
      <c r="C43" s="58" t="s">
        <v>282</v>
      </c>
      <c r="D43" s="40"/>
      <c r="E43" s="40"/>
      <c r="F43" s="40"/>
      <c r="G43" s="40"/>
      <c r="H43" s="40"/>
      <c r="I43" s="40"/>
      <c r="J43" s="41"/>
    </row>
  </sheetData>
  <mergeCells count="8">
    <mergeCell ref="B2:J2"/>
    <mergeCell ref="B3:J3"/>
    <mergeCell ref="C39:J39"/>
    <mergeCell ref="C40:J40"/>
    <mergeCell ref="C43:J43"/>
    <mergeCell ref="C42:J42"/>
    <mergeCell ref="C41:J41"/>
    <mergeCell ref="B38:J38"/>
  </mergeCells>
  <conditionalFormatting sqref="H6:H9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55"/>
  <sheetViews>
    <sheetView showGridLines="0" topLeftCell="A5" zoomScaleNormal="100" workbookViewId="0">
      <selection activeCell="L36" sqref="L36"/>
    </sheetView>
  </sheetViews>
  <sheetFormatPr defaultColWidth="8.6640625" defaultRowHeight="14.4" x14ac:dyDescent="0.3"/>
  <cols>
    <col min="1" max="1" width="3" style="1" customWidth="1"/>
    <col min="2" max="2" width="22" style="1" customWidth="1"/>
    <col min="3" max="3" width="14" style="1" customWidth="1"/>
    <col min="4" max="5" width="18" style="1" customWidth="1"/>
    <col min="6" max="6" width="14" style="1" customWidth="1"/>
    <col min="7" max="8" width="18" style="1" customWidth="1"/>
    <col min="9" max="9" width="16" style="1" customWidth="1"/>
    <col min="10" max="10" width="45" style="1" customWidth="1"/>
  </cols>
  <sheetData>
    <row r="2" spans="2:10" ht="31.5" customHeight="1" x14ac:dyDescent="0.3">
      <c r="B2" s="55" t="s">
        <v>283</v>
      </c>
      <c r="C2" s="43"/>
      <c r="D2" s="43"/>
      <c r="E2" s="43"/>
      <c r="F2" s="43"/>
      <c r="G2" s="43"/>
      <c r="H2" s="43"/>
      <c r="I2" s="43"/>
      <c r="J2" s="43"/>
    </row>
    <row r="3" spans="2:10" ht="21.75" customHeight="1" x14ac:dyDescent="0.3">
      <c r="B3" s="57" t="s">
        <v>284</v>
      </c>
      <c r="C3" s="43"/>
      <c r="D3" s="43"/>
      <c r="E3" s="43"/>
      <c r="F3" s="43"/>
      <c r="G3" s="43"/>
      <c r="H3" s="43"/>
      <c r="I3" s="43"/>
      <c r="J3" s="43"/>
    </row>
    <row r="5" spans="2:10" ht="31.5" customHeight="1" x14ac:dyDescent="0.3">
      <c r="B5" s="7" t="s">
        <v>285</v>
      </c>
      <c r="C5" s="7" t="s">
        <v>286</v>
      </c>
      <c r="D5" s="7" t="s">
        <v>287</v>
      </c>
      <c r="E5" s="7" t="s">
        <v>288</v>
      </c>
      <c r="F5" s="7" t="s">
        <v>289</v>
      </c>
      <c r="G5" s="7" t="s">
        <v>290</v>
      </c>
      <c r="H5" s="7" t="s">
        <v>291</v>
      </c>
      <c r="I5" s="7" t="s">
        <v>292</v>
      </c>
      <c r="J5" s="7" t="s">
        <v>293</v>
      </c>
    </row>
    <row r="6" spans="2:10" ht="31.5" customHeight="1" x14ac:dyDescent="0.3">
      <c r="B6" s="8" t="s">
        <v>294</v>
      </c>
      <c r="C6" s="9" t="s">
        <v>295</v>
      </c>
      <c r="D6" s="9" t="s">
        <v>296</v>
      </c>
      <c r="E6" s="9" t="s">
        <v>297</v>
      </c>
      <c r="F6" s="9" t="s">
        <v>298</v>
      </c>
      <c r="G6" s="9" t="s">
        <v>298</v>
      </c>
      <c r="H6" s="9" t="s">
        <v>298</v>
      </c>
      <c r="I6" s="19" t="s">
        <v>299</v>
      </c>
      <c r="J6" s="10" t="s">
        <v>300</v>
      </c>
    </row>
    <row r="7" spans="2:10" ht="31.5" customHeight="1" x14ac:dyDescent="0.3">
      <c r="B7" s="8" t="s">
        <v>301</v>
      </c>
      <c r="C7" s="9" t="s">
        <v>302</v>
      </c>
      <c r="D7" s="9" t="s">
        <v>303</v>
      </c>
      <c r="E7" s="9" t="s">
        <v>304</v>
      </c>
      <c r="F7" s="9" t="s">
        <v>298</v>
      </c>
      <c r="G7" s="9" t="s">
        <v>298</v>
      </c>
      <c r="H7" s="9" t="s">
        <v>298</v>
      </c>
      <c r="I7" s="19" t="s">
        <v>299</v>
      </c>
      <c r="J7" s="10" t="s">
        <v>305</v>
      </c>
    </row>
    <row r="8" spans="2:10" ht="31.5" customHeight="1" x14ac:dyDescent="0.3">
      <c r="B8" s="8" t="s">
        <v>306</v>
      </c>
      <c r="C8" s="9" t="s">
        <v>307</v>
      </c>
      <c r="D8" s="9" t="s">
        <v>308</v>
      </c>
      <c r="E8" s="9" t="s">
        <v>309</v>
      </c>
      <c r="F8" s="9" t="s">
        <v>298</v>
      </c>
      <c r="G8" s="9" t="s">
        <v>298</v>
      </c>
      <c r="H8" s="9" t="s">
        <v>298</v>
      </c>
      <c r="I8" s="19" t="s">
        <v>299</v>
      </c>
      <c r="J8" s="10" t="s">
        <v>310</v>
      </c>
    </row>
    <row r="9" spans="2:10" ht="31.5" customHeight="1" x14ac:dyDescent="0.3">
      <c r="B9" s="8" t="s">
        <v>311</v>
      </c>
      <c r="C9" s="9" t="s">
        <v>312</v>
      </c>
      <c r="D9" s="9" t="s">
        <v>313</v>
      </c>
      <c r="E9" s="9" t="s">
        <v>314</v>
      </c>
      <c r="F9" s="9" t="s">
        <v>298</v>
      </c>
      <c r="G9" s="9" t="s">
        <v>298</v>
      </c>
      <c r="H9" s="9" t="s">
        <v>298</v>
      </c>
      <c r="I9" s="19" t="s">
        <v>299</v>
      </c>
      <c r="J9" s="10" t="s">
        <v>315</v>
      </c>
    </row>
    <row r="10" spans="2:10" ht="31.5" customHeight="1" x14ac:dyDescent="0.3">
      <c r="B10" s="8" t="s">
        <v>316</v>
      </c>
      <c r="C10" s="9" t="s">
        <v>317</v>
      </c>
      <c r="D10" s="9" t="s">
        <v>318</v>
      </c>
      <c r="E10" s="9" t="s">
        <v>319</v>
      </c>
      <c r="F10" s="9" t="s">
        <v>298</v>
      </c>
      <c r="G10" s="9" t="s">
        <v>298</v>
      </c>
      <c r="H10" s="9" t="s">
        <v>298</v>
      </c>
      <c r="I10" s="19" t="s">
        <v>299</v>
      </c>
      <c r="J10" s="10" t="s">
        <v>320</v>
      </c>
    </row>
    <row r="11" spans="2:10" ht="31.5" customHeight="1" x14ac:dyDescent="0.3">
      <c r="B11" s="8" t="s">
        <v>321</v>
      </c>
      <c r="C11" s="9" t="s">
        <v>322</v>
      </c>
      <c r="D11" s="9" t="s">
        <v>319</v>
      </c>
      <c r="E11" s="9" t="s">
        <v>319</v>
      </c>
      <c r="F11" s="9" t="s">
        <v>298</v>
      </c>
      <c r="G11" s="9" t="s">
        <v>298</v>
      </c>
      <c r="H11" s="9" t="s">
        <v>319</v>
      </c>
      <c r="I11" s="19" t="s">
        <v>299</v>
      </c>
      <c r="J11" s="10" t="s">
        <v>323</v>
      </c>
    </row>
    <row r="12" spans="2:10" ht="31.5" customHeight="1" x14ac:dyDescent="0.3">
      <c r="B12" s="8" t="s">
        <v>324</v>
      </c>
      <c r="C12" s="9" t="s">
        <v>325</v>
      </c>
      <c r="D12" s="9" t="s">
        <v>319</v>
      </c>
      <c r="E12" s="9" t="s">
        <v>319</v>
      </c>
      <c r="F12" s="9" t="s">
        <v>298</v>
      </c>
      <c r="G12" s="9" t="s">
        <v>298</v>
      </c>
      <c r="H12" s="9" t="s">
        <v>298</v>
      </c>
      <c r="I12" s="19" t="s">
        <v>299</v>
      </c>
      <c r="J12" s="10" t="s">
        <v>326</v>
      </c>
    </row>
    <row r="13" spans="2:10" ht="31.5" customHeight="1" x14ac:dyDescent="0.3">
      <c r="B13" s="8" t="s">
        <v>327</v>
      </c>
      <c r="C13" s="9" t="s">
        <v>328</v>
      </c>
      <c r="D13" s="9" t="s">
        <v>319</v>
      </c>
      <c r="E13" s="9" t="s">
        <v>319</v>
      </c>
      <c r="F13" s="9" t="s">
        <v>298</v>
      </c>
      <c r="G13" s="9" t="s">
        <v>298</v>
      </c>
      <c r="H13" s="9" t="s">
        <v>329</v>
      </c>
      <c r="I13" s="19" t="s">
        <v>299</v>
      </c>
      <c r="J13" s="10" t="s">
        <v>330</v>
      </c>
    </row>
    <row r="14" spans="2:10" ht="7.5" customHeight="1" x14ac:dyDescent="0.3">
      <c r="B14" s="20"/>
      <c r="C14" s="9"/>
      <c r="D14" s="9"/>
      <c r="E14" s="9"/>
      <c r="F14" s="9"/>
      <c r="G14" s="9"/>
      <c r="H14" s="9"/>
      <c r="I14" s="21"/>
      <c r="J14" s="10"/>
    </row>
    <row r="15" spans="2:10" ht="31.5" customHeight="1" x14ac:dyDescent="0.3">
      <c r="B15" s="20" t="s">
        <v>331</v>
      </c>
      <c r="C15" s="9" t="s">
        <v>332</v>
      </c>
      <c r="D15" s="9" t="s">
        <v>319</v>
      </c>
      <c r="E15" s="9" t="s">
        <v>319</v>
      </c>
      <c r="F15" s="9" t="s">
        <v>319</v>
      </c>
      <c r="G15" s="9" t="s">
        <v>319</v>
      </c>
      <c r="H15" s="9" t="s">
        <v>319</v>
      </c>
      <c r="I15" s="22" t="s">
        <v>333</v>
      </c>
      <c r="J15" s="10" t="s">
        <v>334</v>
      </c>
    </row>
    <row r="16" spans="2:10" ht="31.5" customHeight="1" x14ac:dyDescent="0.3">
      <c r="B16" s="20" t="s">
        <v>335</v>
      </c>
      <c r="C16" s="9" t="s">
        <v>336</v>
      </c>
      <c r="D16" s="9" t="s">
        <v>319</v>
      </c>
      <c r="E16" s="9" t="s">
        <v>319</v>
      </c>
      <c r="F16" s="9" t="s">
        <v>298</v>
      </c>
      <c r="G16" s="9" t="s">
        <v>319</v>
      </c>
      <c r="H16" s="9" t="s">
        <v>319</v>
      </c>
      <c r="I16" s="23" t="s">
        <v>337</v>
      </c>
      <c r="J16" s="10" t="s">
        <v>338</v>
      </c>
    </row>
    <row r="17" spans="2:10" ht="31.5" customHeight="1" x14ac:dyDescent="0.3">
      <c r="B17" s="20" t="s">
        <v>339</v>
      </c>
      <c r="C17" s="9" t="s">
        <v>340</v>
      </c>
      <c r="D17" s="9" t="s">
        <v>319</v>
      </c>
      <c r="E17" s="9" t="s">
        <v>319</v>
      </c>
      <c r="F17" s="9" t="s">
        <v>298</v>
      </c>
      <c r="G17" s="9" t="s">
        <v>319</v>
      </c>
      <c r="H17" s="9" t="s">
        <v>319</v>
      </c>
      <c r="I17" s="23" t="s">
        <v>337</v>
      </c>
      <c r="J17" s="10" t="s">
        <v>341</v>
      </c>
    </row>
    <row r="18" spans="2:10" ht="31.5" customHeight="1" x14ac:dyDescent="0.3">
      <c r="B18" s="20" t="s">
        <v>342</v>
      </c>
      <c r="C18" s="9" t="s">
        <v>343</v>
      </c>
      <c r="D18" s="9" t="s">
        <v>319</v>
      </c>
      <c r="E18" s="9" t="s">
        <v>319</v>
      </c>
      <c r="F18" s="9" t="s">
        <v>298</v>
      </c>
      <c r="G18" s="9" t="s">
        <v>319</v>
      </c>
      <c r="H18" s="9" t="s">
        <v>319</v>
      </c>
      <c r="I18" s="23" t="s">
        <v>337</v>
      </c>
      <c r="J18" s="10" t="s">
        <v>344</v>
      </c>
    </row>
    <row r="19" spans="2:10" ht="31.5" customHeight="1" x14ac:dyDescent="0.3">
      <c r="B19" s="20" t="s">
        <v>345</v>
      </c>
      <c r="C19" s="9" t="s">
        <v>346</v>
      </c>
      <c r="D19" s="9" t="s">
        <v>319</v>
      </c>
      <c r="E19" s="9" t="s">
        <v>319</v>
      </c>
      <c r="F19" s="9" t="s">
        <v>298</v>
      </c>
      <c r="G19" s="9" t="s">
        <v>319</v>
      </c>
      <c r="H19" s="9" t="s">
        <v>319</v>
      </c>
      <c r="I19" s="23" t="s">
        <v>337</v>
      </c>
      <c r="J19" s="10" t="s">
        <v>347</v>
      </c>
    </row>
    <row r="20" spans="2:10" ht="31.5" customHeight="1" x14ac:dyDescent="0.3">
      <c r="B20" s="20" t="s">
        <v>348</v>
      </c>
      <c r="C20" s="9" t="s">
        <v>349</v>
      </c>
      <c r="D20" s="9" t="s">
        <v>319</v>
      </c>
      <c r="E20" s="9" t="s">
        <v>319</v>
      </c>
      <c r="F20" s="9" t="s">
        <v>298</v>
      </c>
      <c r="G20" s="9" t="s">
        <v>319</v>
      </c>
      <c r="H20" s="9" t="s">
        <v>350</v>
      </c>
      <c r="I20" s="23" t="s">
        <v>337</v>
      </c>
      <c r="J20" s="10" t="s">
        <v>351</v>
      </c>
    </row>
    <row r="21" spans="2:10" ht="31.5" customHeight="1" x14ac:dyDescent="0.3">
      <c r="B21" s="20" t="s">
        <v>352</v>
      </c>
      <c r="C21" s="9" t="s">
        <v>353</v>
      </c>
      <c r="D21" s="9" t="s">
        <v>354</v>
      </c>
      <c r="E21" s="9" t="s">
        <v>319</v>
      </c>
      <c r="F21" s="9" t="s">
        <v>319</v>
      </c>
      <c r="G21" s="9" t="s">
        <v>319</v>
      </c>
      <c r="H21" s="9" t="s">
        <v>319</v>
      </c>
      <c r="I21" s="23" t="s">
        <v>337</v>
      </c>
      <c r="J21" s="10" t="s">
        <v>355</v>
      </c>
    </row>
    <row r="22" spans="2:10" ht="31.5" customHeight="1" x14ac:dyDescent="0.3">
      <c r="B22" s="20" t="s">
        <v>356</v>
      </c>
      <c r="C22" s="9" t="s">
        <v>357</v>
      </c>
      <c r="D22" s="9" t="s">
        <v>319</v>
      </c>
      <c r="E22" s="9" t="s">
        <v>319</v>
      </c>
      <c r="F22" s="9" t="s">
        <v>298</v>
      </c>
      <c r="G22" s="9" t="s">
        <v>298</v>
      </c>
      <c r="H22" s="9" t="s">
        <v>319</v>
      </c>
      <c r="I22" s="23" t="s">
        <v>337</v>
      </c>
      <c r="J22" s="10" t="s">
        <v>358</v>
      </c>
    </row>
    <row r="24" spans="2:10" ht="25.5" customHeight="1" x14ac:dyDescent="0.3">
      <c r="B24" s="56" t="s">
        <v>359</v>
      </c>
      <c r="C24" s="43"/>
      <c r="D24" s="43"/>
      <c r="E24" s="43"/>
      <c r="F24" s="43"/>
      <c r="G24" s="43"/>
      <c r="H24" s="43"/>
      <c r="I24" s="43"/>
      <c r="J24" s="43"/>
    </row>
    <row r="25" spans="2:10" ht="24" customHeight="1" x14ac:dyDescent="0.3">
      <c r="B25" s="3" t="s">
        <v>360</v>
      </c>
      <c r="C25" s="45" t="s">
        <v>361</v>
      </c>
      <c r="D25" s="41"/>
    </row>
    <row r="26" spans="2:10" ht="27.75" customHeight="1" x14ac:dyDescent="0.3">
      <c r="B26" s="24" t="s">
        <v>362</v>
      </c>
      <c r="C26" s="59" t="s">
        <v>363</v>
      </c>
      <c r="D26" s="41"/>
      <c r="E26" s="60" t="s">
        <v>364</v>
      </c>
      <c r="F26" s="40"/>
      <c r="G26" s="40"/>
      <c r="H26" s="40"/>
      <c r="I26" s="40"/>
      <c r="J26" s="41"/>
    </row>
    <row r="27" spans="2:10" ht="27.75" customHeight="1" x14ac:dyDescent="0.3">
      <c r="B27" s="24" t="s">
        <v>365</v>
      </c>
      <c r="C27" s="59" t="s">
        <v>366</v>
      </c>
      <c r="D27" s="41"/>
      <c r="E27" s="60" t="s">
        <v>367</v>
      </c>
      <c r="F27" s="40"/>
      <c r="G27" s="40"/>
      <c r="H27" s="40"/>
      <c r="I27" s="40"/>
      <c r="J27" s="41"/>
    </row>
    <row r="28" spans="2:10" ht="27.75" customHeight="1" x14ac:dyDescent="0.3">
      <c r="B28" s="24" t="s">
        <v>368</v>
      </c>
      <c r="C28" s="59" t="s">
        <v>369</v>
      </c>
      <c r="D28" s="41"/>
      <c r="E28" s="60" t="s">
        <v>370</v>
      </c>
      <c r="F28" s="40"/>
      <c r="G28" s="40"/>
      <c r="H28" s="40"/>
      <c r="I28" s="40"/>
      <c r="J28" s="41"/>
    </row>
    <row r="29" spans="2:10" ht="27.75" customHeight="1" x14ac:dyDescent="0.3">
      <c r="B29" s="24" t="s">
        <v>371</v>
      </c>
      <c r="C29" s="59" t="s">
        <v>372</v>
      </c>
      <c r="D29" s="41"/>
      <c r="E29" s="60" t="s">
        <v>373</v>
      </c>
      <c r="F29" s="40"/>
      <c r="G29" s="40"/>
      <c r="H29" s="40"/>
      <c r="I29" s="40"/>
      <c r="J29" s="41"/>
    </row>
    <row r="30" spans="2:10" ht="27.75" customHeight="1" x14ac:dyDescent="0.3">
      <c r="B30" s="24" t="s">
        <v>374</v>
      </c>
      <c r="C30" s="59" t="s">
        <v>375</v>
      </c>
      <c r="D30" s="41"/>
      <c r="E30" s="60" t="s">
        <v>376</v>
      </c>
      <c r="F30" s="40"/>
      <c r="G30" s="40"/>
      <c r="H30" s="40"/>
      <c r="I30" s="40"/>
      <c r="J30" s="41"/>
    </row>
    <row r="31" spans="2:10" ht="27.75" customHeight="1" x14ac:dyDescent="0.3">
      <c r="B31" s="24" t="s">
        <v>377</v>
      </c>
      <c r="C31" s="59" t="s">
        <v>378</v>
      </c>
      <c r="D31" s="41"/>
      <c r="E31" s="60" t="s">
        <v>379</v>
      </c>
      <c r="F31" s="40"/>
      <c r="G31" s="40"/>
      <c r="H31" s="40"/>
      <c r="I31" s="40"/>
      <c r="J31" s="41"/>
    </row>
    <row r="32" spans="2:10" ht="27.75" customHeight="1" x14ac:dyDescent="0.3">
      <c r="B32" s="24" t="s">
        <v>380</v>
      </c>
      <c r="C32" s="59" t="s">
        <v>381</v>
      </c>
      <c r="D32" s="41"/>
      <c r="E32" s="60" t="s">
        <v>382</v>
      </c>
      <c r="F32" s="40"/>
      <c r="G32" s="40"/>
      <c r="H32" s="40"/>
      <c r="I32" s="40"/>
      <c r="J32" s="41"/>
    </row>
    <row r="33" spans="2:10" ht="27.75" customHeight="1" x14ac:dyDescent="0.3">
      <c r="B33" s="24" t="s">
        <v>383</v>
      </c>
      <c r="C33" s="59" t="s">
        <v>384</v>
      </c>
      <c r="D33" s="41"/>
      <c r="E33" s="60" t="s">
        <v>385</v>
      </c>
      <c r="F33" s="40"/>
      <c r="G33" s="40"/>
      <c r="H33" s="40"/>
      <c r="I33" s="40"/>
      <c r="J33" s="41"/>
    </row>
    <row r="35" spans="2:10" ht="25.5" customHeight="1" x14ac:dyDescent="0.3">
      <c r="B35" s="56" t="s">
        <v>493</v>
      </c>
      <c r="C35" s="43"/>
      <c r="D35" s="43"/>
      <c r="E35" s="43"/>
      <c r="F35" s="43"/>
      <c r="G35" s="43"/>
      <c r="H35" s="43"/>
      <c r="I35" s="43"/>
      <c r="J35" s="43"/>
    </row>
    <row r="36" spans="2:10" ht="19.5" customHeight="1" x14ac:dyDescent="0.3">
      <c r="B36" s="64" t="s">
        <v>425</v>
      </c>
      <c r="C36" s="64" t="s">
        <v>425</v>
      </c>
      <c r="D36" s="64" t="s">
        <v>425</v>
      </c>
      <c r="E36" s="64" t="s">
        <v>425</v>
      </c>
      <c r="F36"/>
      <c r="G36"/>
      <c r="H36"/>
      <c r="I36"/>
      <c r="J36"/>
    </row>
    <row r="37" spans="2:10" ht="19.5" customHeight="1" x14ac:dyDescent="0.3">
      <c r="B37" s="65" t="s">
        <v>426</v>
      </c>
      <c r="C37" s="66" t="s">
        <v>427</v>
      </c>
      <c r="D37" s="67" t="s">
        <v>428</v>
      </c>
      <c r="E37" s="68" t="s">
        <v>429</v>
      </c>
      <c r="F37"/>
      <c r="G37"/>
      <c r="H37"/>
      <c r="I37"/>
      <c r="J37"/>
    </row>
    <row r="38" spans="2:10" ht="19.5" customHeight="1" x14ac:dyDescent="0.3">
      <c r="B38" s="69" t="s">
        <v>430</v>
      </c>
      <c r="C38" s="70" t="s">
        <v>431</v>
      </c>
      <c r="D38" s="71" t="s">
        <v>432</v>
      </c>
      <c r="E38" s="72" t="s">
        <v>433</v>
      </c>
      <c r="F38"/>
      <c r="G38"/>
      <c r="H38"/>
      <c r="I38"/>
      <c r="J38"/>
    </row>
    <row r="39" spans="2:10" ht="19.5" customHeight="1" x14ac:dyDescent="0.3">
      <c r="B39" s="65" t="s">
        <v>434</v>
      </c>
      <c r="C39" s="66" t="s">
        <v>435</v>
      </c>
      <c r="D39" s="67" t="s">
        <v>436</v>
      </c>
      <c r="E39" s="68" t="s">
        <v>437</v>
      </c>
      <c r="F39"/>
      <c r="G39"/>
      <c r="H39"/>
      <c r="I39"/>
      <c r="J39"/>
    </row>
    <row r="40" spans="2:10" ht="19.5" customHeight="1" x14ac:dyDescent="0.3">
      <c r="B40" s="69" t="s">
        <v>438</v>
      </c>
      <c r="C40" s="70" t="s">
        <v>439</v>
      </c>
      <c r="D40" s="71" t="s">
        <v>440</v>
      </c>
      <c r="E40" s="72" t="s">
        <v>441</v>
      </c>
      <c r="F40"/>
      <c r="G40"/>
      <c r="H40"/>
      <c r="I40"/>
      <c r="J40"/>
    </row>
    <row r="41" spans="2:10" ht="19.5" customHeight="1" x14ac:dyDescent="0.3">
      <c r="B41" s="65" t="s">
        <v>290</v>
      </c>
      <c r="C41" s="66" t="s">
        <v>442</v>
      </c>
      <c r="D41" s="67" t="s">
        <v>443</v>
      </c>
      <c r="E41" s="68" t="s">
        <v>444</v>
      </c>
      <c r="F41"/>
      <c r="G41"/>
      <c r="H41"/>
      <c r="I41"/>
      <c r="J41"/>
    </row>
    <row r="42" spans="2:10" x14ac:dyDescent="0.3">
      <c r="B42" s="69" t="s">
        <v>445</v>
      </c>
      <c r="C42" s="70" t="s">
        <v>446</v>
      </c>
      <c r="D42" s="71" t="s">
        <v>447</v>
      </c>
      <c r="E42" s="72" t="s">
        <v>448</v>
      </c>
      <c r="F42"/>
      <c r="G42"/>
      <c r="H42"/>
      <c r="I42"/>
      <c r="J42"/>
    </row>
    <row r="43" spans="2:10" x14ac:dyDescent="0.3">
      <c r="B43" s="65" t="s">
        <v>449</v>
      </c>
      <c r="C43" s="66" t="s">
        <v>450</v>
      </c>
      <c r="D43" s="67" t="s">
        <v>451</v>
      </c>
      <c r="E43" s="68" t="s">
        <v>452</v>
      </c>
    </row>
    <row r="44" spans="2:10" x14ac:dyDescent="0.3">
      <c r="B44" s="69" t="s">
        <v>453</v>
      </c>
      <c r="C44" s="70" t="s">
        <v>454</v>
      </c>
      <c r="D44" s="71" t="s">
        <v>453</v>
      </c>
      <c r="E44" s="72" t="s">
        <v>455</v>
      </c>
    </row>
    <row r="45" spans="2:10" x14ac:dyDescent="0.3">
      <c r="B45" s="65" t="s">
        <v>456</v>
      </c>
      <c r="C45" s="66" t="s">
        <v>457</v>
      </c>
      <c r="D45" s="67" t="s">
        <v>458</v>
      </c>
      <c r="E45" s="68" t="s">
        <v>459</v>
      </c>
    </row>
    <row r="46" spans="2:10" x14ac:dyDescent="0.3">
      <c r="B46" s="69" t="s">
        <v>460</v>
      </c>
      <c r="C46" s="70" t="s">
        <v>461</v>
      </c>
      <c r="D46" s="71" t="s">
        <v>462</v>
      </c>
      <c r="E46" s="72" t="s">
        <v>463</v>
      </c>
    </row>
    <row r="47" spans="2:10" x14ac:dyDescent="0.3">
      <c r="B47" s="65" t="s">
        <v>464</v>
      </c>
      <c r="C47" s="66" t="s">
        <v>465</v>
      </c>
      <c r="D47" s="67" t="s">
        <v>466</v>
      </c>
      <c r="E47" s="68" t="s">
        <v>467</v>
      </c>
    </row>
    <row r="48" spans="2:10" x14ac:dyDescent="0.3">
      <c r="B48" s="69" t="s">
        <v>468</v>
      </c>
      <c r="C48" s="70" t="s">
        <v>465</v>
      </c>
      <c r="D48" s="71" t="s">
        <v>469</v>
      </c>
      <c r="E48" s="72" t="s">
        <v>467</v>
      </c>
    </row>
    <row r="49" spans="2:5" x14ac:dyDescent="0.3">
      <c r="B49" s="65" t="s">
        <v>470</v>
      </c>
      <c r="C49" s="66" t="s">
        <v>465</v>
      </c>
      <c r="D49" s="67" t="s">
        <v>471</v>
      </c>
      <c r="E49" s="68" t="s">
        <v>472</v>
      </c>
    </row>
    <row r="50" spans="2:5" x14ac:dyDescent="0.3">
      <c r="B50" s="69" t="s">
        <v>473</v>
      </c>
      <c r="C50" s="70" t="s">
        <v>474</v>
      </c>
      <c r="D50" s="71" t="s">
        <v>462</v>
      </c>
      <c r="E50" s="72" t="s">
        <v>475</v>
      </c>
    </row>
    <row r="51" spans="2:5" x14ac:dyDescent="0.3">
      <c r="B51" s="65" t="s">
        <v>476</v>
      </c>
      <c r="C51" s="66" t="s">
        <v>446</v>
      </c>
      <c r="D51" s="67" t="s">
        <v>477</v>
      </c>
      <c r="E51" s="68" t="s">
        <v>478</v>
      </c>
    </row>
    <row r="52" spans="2:5" x14ac:dyDescent="0.3">
      <c r="B52" s="69" t="s">
        <v>479</v>
      </c>
      <c r="C52" s="70" t="s">
        <v>446</v>
      </c>
      <c r="D52" s="71" t="s">
        <v>480</v>
      </c>
      <c r="E52" s="72" t="s">
        <v>481</v>
      </c>
    </row>
    <row r="53" spans="2:5" x14ac:dyDescent="0.3">
      <c r="B53" s="65" t="s">
        <v>482</v>
      </c>
      <c r="C53" s="66" t="s">
        <v>446</v>
      </c>
      <c r="D53" s="67" t="s">
        <v>483</v>
      </c>
      <c r="E53" s="68" t="s">
        <v>484</v>
      </c>
    </row>
    <row r="54" spans="2:5" x14ac:dyDescent="0.3">
      <c r="B54" s="69" t="s">
        <v>485</v>
      </c>
      <c r="C54" s="70" t="s">
        <v>486</v>
      </c>
      <c r="D54" s="71" t="s">
        <v>487</v>
      </c>
      <c r="E54" s="72" t="s">
        <v>488</v>
      </c>
    </row>
    <row r="55" spans="2:5" x14ac:dyDescent="0.3">
      <c r="B55" s="65" t="s">
        <v>489</v>
      </c>
      <c r="C55" s="66" t="s">
        <v>490</v>
      </c>
      <c r="D55" s="67" t="s">
        <v>491</v>
      </c>
      <c r="E55" s="68" t="s">
        <v>492</v>
      </c>
    </row>
  </sheetData>
  <mergeCells count="21">
    <mergeCell ref="B2:J2"/>
    <mergeCell ref="B35:J35"/>
    <mergeCell ref="E33:J33"/>
    <mergeCell ref="B3:J3"/>
    <mergeCell ref="C32:D32"/>
    <mergeCell ref="C28:D28"/>
    <mergeCell ref="E26:J26"/>
    <mergeCell ref="C31:D31"/>
    <mergeCell ref="B24:J24"/>
    <mergeCell ref="E29:J29"/>
    <mergeCell ref="E32:J32"/>
    <mergeCell ref="C27:D27"/>
    <mergeCell ref="C29:D29"/>
    <mergeCell ref="C25:D25"/>
    <mergeCell ref="E27:J27"/>
    <mergeCell ref="C30:D30"/>
    <mergeCell ref="E28:J28"/>
    <mergeCell ref="C33:D33"/>
    <mergeCell ref="E31:J31"/>
    <mergeCell ref="C26:D26"/>
    <mergeCell ref="E30:J3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G72"/>
  <sheetViews>
    <sheetView showGridLines="0" topLeftCell="A67" zoomScaleNormal="100" workbookViewId="0"/>
  </sheetViews>
  <sheetFormatPr defaultColWidth="8.6640625" defaultRowHeight="14.4" x14ac:dyDescent="0.3"/>
  <cols>
    <col min="1" max="1" width="3" style="1" customWidth="1"/>
    <col min="2" max="2" width="18" style="1" customWidth="1"/>
    <col min="3" max="3" width="25" style="1" customWidth="1"/>
    <col min="4" max="4" width="40" style="1" customWidth="1"/>
    <col min="5" max="5" width="15" style="1" customWidth="1"/>
    <col min="6" max="6" width="20" style="1" customWidth="1"/>
    <col min="7" max="7" width="40" style="1" customWidth="1"/>
  </cols>
  <sheetData>
    <row r="2" spans="2:7" ht="31.5" customHeight="1" x14ac:dyDescent="0.3">
      <c r="B2" s="55" t="s">
        <v>386</v>
      </c>
      <c r="C2" s="43"/>
      <c r="D2" s="43"/>
      <c r="E2" s="43"/>
      <c r="F2" s="43"/>
      <c r="G2" s="43"/>
    </row>
    <row r="3" spans="2:7" ht="21.75" customHeight="1" x14ac:dyDescent="0.3">
      <c r="B3" s="57" t="s">
        <v>387</v>
      </c>
      <c r="C3" s="43"/>
      <c r="D3" s="43"/>
      <c r="E3" s="43"/>
      <c r="F3" s="43"/>
      <c r="G3" s="43"/>
    </row>
    <row r="5" spans="2:7" ht="25.5" customHeight="1" x14ac:dyDescent="0.3">
      <c r="B5" s="56" t="s">
        <v>388</v>
      </c>
      <c r="C5" s="43"/>
      <c r="D5" s="43"/>
      <c r="E5" s="43"/>
      <c r="F5" s="43"/>
      <c r="G5" s="43"/>
    </row>
    <row r="6" spans="2:7" ht="25.5" customHeight="1" x14ac:dyDescent="0.3">
      <c r="B6" s="26" t="s">
        <v>389</v>
      </c>
      <c r="C6" s="61"/>
      <c r="D6" s="41"/>
      <c r="E6" s="26" t="s">
        <v>390</v>
      </c>
      <c r="F6" s="61"/>
      <c r="G6" s="41"/>
    </row>
    <row r="7" spans="2:7" ht="25.5" customHeight="1" x14ac:dyDescent="0.3">
      <c r="B7" s="26" t="s">
        <v>391</v>
      </c>
      <c r="C7" s="61"/>
      <c r="D7" s="41"/>
      <c r="E7" s="26" t="s">
        <v>392</v>
      </c>
      <c r="F7" s="61"/>
      <c r="G7" s="41"/>
    </row>
    <row r="8" spans="2:7" ht="25.5" customHeight="1" x14ac:dyDescent="0.3">
      <c r="B8" s="26" t="s">
        <v>393</v>
      </c>
      <c r="C8" s="61"/>
      <c r="D8" s="41"/>
      <c r="E8" s="26" t="s">
        <v>394</v>
      </c>
      <c r="F8" s="61"/>
      <c r="G8" s="41"/>
    </row>
    <row r="9" spans="2:7" ht="25.5" customHeight="1" x14ac:dyDescent="0.3">
      <c r="B9" s="26" t="s">
        <v>395</v>
      </c>
      <c r="C9" s="61"/>
      <c r="D9" s="41"/>
      <c r="E9" s="26" t="s">
        <v>396</v>
      </c>
      <c r="F9" s="61"/>
      <c r="G9" s="41"/>
    </row>
    <row r="10" spans="2:7" ht="25.5" customHeight="1" x14ac:dyDescent="0.3">
      <c r="B10" s="26" t="s">
        <v>397</v>
      </c>
      <c r="C10" s="61"/>
      <c r="D10" s="41"/>
      <c r="E10" s="26" t="s">
        <v>398</v>
      </c>
      <c r="F10" s="61"/>
      <c r="G10" s="41"/>
    </row>
    <row r="12" spans="2:7" ht="27.75" customHeight="1" x14ac:dyDescent="0.3">
      <c r="B12" s="63" t="s">
        <v>399</v>
      </c>
      <c r="C12" s="43"/>
      <c r="D12" s="43"/>
      <c r="E12" s="43"/>
      <c r="F12" s="43"/>
      <c r="G12" s="43"/>
    </row>
    <row r="14" spans="2:7" ht="25.5" customHeight="1" x14ac:dyDescent="0.3">
      <c r="B14" s="54" t="s">
        <v>65</v>
      </c>
      <c r="C14" s="43"/>
      <c r="D14" s="43"/>
      <c r="E14" s="43"/>
      <c r="F14" s="43"/>
      <c r="G14" s="43"/>
    </row>
    <row r="15" spans="2:7" ht="27.75" customHeight="1" x14ac:dyDescent="0.3">
      <c r="B15" s="7" t="s">
        <v>66</v>
      </c>
      <c r="C15" s="7" t="s">
        <v>67</v>
      </c>
      <c r="D15" s="7" t="s">
        <v>400</v>
      </c>
      <c r="E15" s="7" t="s">
        <v>401</v>
      </c>
      <c r="F15" s="7" t="s">
        <v>402</v>
      </c>
      <c r="G15" s="7" t="s">
        <v>403</v>
      </c>
    </row>
    <row r="16" spans="2:7" ht="31.5" customHeight="1" x14ac:dyDescent="0.3">
      <c r="B16" s="24" t="s">
        <v>70</v>
      </c>
      <c r="C16" s="6" t="s">
        <v>71</v>
      </c>
      <c r="D16" s="6"/>
      <c r="E16" s="6"/>
      <c r="F16" s="28" t="str">
        <f t="shared" ref="F16:F21" si="0">IF(E16="","",E16*VALUE(SUBSTITUTE(C16,"%",""))/100)</f>
        <v/>
      </c>
      <c r="G16" s="25"/>
    </row>
    <row r="17" spans="2:7" ht="31.5" customHeight="1" x14ac:dyDescent="0.3">
      <c r="B17" s="24" t="s">
        <v>75</v>
      </c>
      <c r="C17" s="6" t="s">
        <v>71</v>
      </c>
      <c r="D17" s="6"/>
      <c r="E17" s="6"/>
      <c r="F17" s="28" t="str">
        <f t="shared" si="0"/>
        <v/>
      </c>
      <c r="G17" s="25"/>
    </row>
    <row r="18" spans="2:7" ht="31.5" customHeight="1" x14ac:dyDescent="0.3">
      <c r="B18" s="24" t="s">
        <v>79</v>
      </c>
      <c r="C18" s="6" t="s">
        <v>80</v>
      </c>
      <c r="D18" s="6"/>
      <c r="E18" s="6"/>
      <c r="F18" s="28" t="str">
        <f t="shared" si="0"/>
        <v/>
      </c>
      <c r="G18" s="25"/>
    </row>
    <row r="19" spans="2:7" ht="31.5" customHeight="1" x14ac:dyDescent="0.3">
      <c r="B19" s="24" t="s">
        <v>84</v>
      </c>
      <c r="C19" s="6" t="s">
        <v>80</v>
      </c>
      <c r="D19" s="6"/>
      <c r="E19" s="6"/>
      <c r="F19" s="28" t="str">
        <f t="shared" si="0"/>
        <v/>
      </c>
      <c r="G19" s="25"/>
    </row>
    <row r="20" spans="2:7" ht="31.5" customHeight="1" x14ac:dyDescent="0.3">
      <c r="B20" s="24" t="s">
        <v>88</v>
      </c>
      <c r="C20" s="6" t="s">
        <v>89</v>
      </c>
      <c r="D20" s="6"/>
      <c r="E20" s="6"/>
      <c r="F20" s="28" t="str">
        <f t="shared" si="0"/>
        <v/>
      </c>
      <c r="G20" s="25"/>
    </row>
    <row r="21" spans="2:7" ht="31.5" customHeight="1" x14ac:dyDescent="0.3">
      <c r="B21" s="24" t="s">
        <v>93</v>
      </c>
      <c r="C21" s="6" t="s">
        <v>89</v>
      </c>
      <c r="D21" s="6"/>
      <c r="E21" s="6"/>
      <c r="F21" s="28" t="str">
        <f t="shared" si="0"/>
        <v/>
      </c>
      <c r="G21" s="25"/>
    </row>
    <row r="22" spans="2:7" ht="25.5" customHeight="1" x14ac:dyDescent="0.3">
      <c r="B22" s="29" t="s">
        <v>404</v>
      </c>
      <c r="C22" s="30"/>
      <c r="D22" s="31" t="s">
        <v>405</v>
      </c>
      <c r="E22" s="32" t="str">
        <f>IF(COUNT(E16:E21)=0,"",ROUND(AVERAGE(E16:E21),1))</f>
        <v/>
      </c>
      <c r="F22" s="33" t="str">
        <f>IF(COUNT(F16:F21)=0,"",SUM(F16:F21))</f>
        <v/>
      </c>
      <c r="G22" s="30"/>
    </row>
    <row r="24" spans="2:7" ht="25.5" customHeight="1" x14ac:dyDescent="0.3">
      <c r="B24" s="54" t="s">
        <v>97</v>
      </c>
      <c r="C24" s="43"/>
      <c r="D24" s="43"/>
      <c r="E24" s="43"/>
      <c r="F24" s="43"/>
      <c r="G24" s="43"/>
    </row>
    <row r="25" spans="2:7" ht="27.75" customHeight="1" x14ac:dyDescent="0.3">
      <c r="B25" s="7" t="s">
        <v>66</v>
      </c>
      <c r="C25" s="7" t="s">
        <v>67</v>
      </c>
      <c r="D25" s="7" t="s">
        <v>400</v>
      </c>
      <c r="E25" s="7" t="s">
        <v>401</v>
      </c>
      <c r="F25" s="7" t="s">
        <v>402</v>
      </c>
      <c r="G25" s="7" t="s">
        <v>403</v>
      </c>
    </row>
    <row r="26" spans="2:7" ht="31.5" customHeight="1" x14ac:dyDescent="0.3">
      <c r="B26" s="24" t="s">
        <v>98</v>
      </c>
      <c r="C26" s="6" t="s">
        <v>71</v>
      </c>
      <c r="D26" s="6"/>
      <c r="E26" s="6"/>
      <c r="F26" s="28" t="str">
        <f t="shared" ref="F26:F31" si="1">IF(E26="","",E26*VALUE(SUBSTITUTE(C26,"%",""))/100)</f>
        <v/>
      </c>
      <c r="G26" s="25"/>
    </row>
    <row r="27" spans="2:7" ht="31.5" customHeight="1" x14ac:dyDescent="0.3">
      <c r="B27" s="24" t="s">
        <v>102</v>
      </c>
      <c r="C27" s="6" t="s">
        <v>103</v>
      </c>
      <c r="D27" s="6"/>
      <c r="E27" s="6"/>
      <c r="F27" s="28" t="str">
        <f t="shared" si="1"/>
        <v/>
      </c>
      <c r="G27" s="25"/>
    </row>
    <row r="28" spans="2:7" ht="31.5" customHeight="1" x14ac:dyDescent="0.3">
      <c r="B28" s="24" t="s">
        <v>107</v>
      </c>
      <c r="C28" s="6" t="s">
        <v>103</v>
      </c>
      <c r="D28" s="6"/>
      <c r="E28" s="6"/>
      <c r="F28" s="28" t="str">
        <f t="shared" si="1"/>
        <v/>
      </c>
      <c r="G28" s="25"/>
    </row>
    <row r="29" spans="2:7" ht="31.5" customHeight="1" x14ac:dyDescent="0.3">
      <c r="B29" s="24" t="s">
        <v>111</v>
      </c>
      <c r="C29" s="6" t="s">
        <v>80</v>
      </c>
      <c r="D29" s="6"/>
      <c r="E29" s="6"/>
      <c r="F29" s="28" t="str">
        <f t="shared" si="1"/>
        <v/>
      </c>
      <c r="G29" s="25"/>
    </row>
    <row r="30" spans="2:7" ht="31.5" customHeight="1" x14ac:dyDescent="0.3">
      <c r="B30" s="24" t="s">
        <v>115</v>
      </c>
      <c r="C30" s="6" t="s">
        <v>89</v>
      </c>
      <c r="D30" s="6"/>
      <c r="E30" s="6"/>
      <c r="F30" s="28" t="str">
        <f t="shared" si="1"/>
        <v/>
      </c>
      <c r="G30" s="25"/>
    </row>
    <row r="31" spans="2:7" ht="31.5" customHeight="1" x14ac:dyDescent="0.3">
      <c r="B31" s="24" t="s">
        <v>119</v>
      </c>
      <c r="C31" s="6" t="s">
        <v>89</v>
      </c>
      <c r="D31" s="6"/>
      <c r="E31" s="6"/>
      <c r="F31" s="28" t="str">
        <f t="shared" si="1"/>
        <v/>
      </c>
      <c r="G31" s="25"/>
    </row>
    <row r="32" spans="2:7" ht="25.5" customHeight="1" x14ac:dyDescent="0.3">
      <c r="B32" s="29" t="s">
        <v>406</v>
      </c>
      <c r="C32" s="30"/>
      <c r="D32" s="31" t="s">
        <v>405</v>
      </c>
      <c r="E32" s="32" t="str">
        <f>IF(COUNT(E26:E31)=0,"",ROUND(AVERAGE(E26:E31),1))</f>
        <v/>
      </c>
      <c r="F32" s="33" t="str">
        <f>IF(COUNT(F26:F31)=0,"",SUM(F26:F31))</f>
        <v/>
      </c>
      <c r="G32" s="30"/>
    </row>
    <row r="34" spans="2:7" ht="25.5" customHeight="1" x14ac:dyDescent="0.3">
      <c r="B34" s="54" t="s">
        <v>123</v>
      </c>
      <c r="C34" s="43"/>
      <c r="D34" s="43"/>
      <c r="E34" s="43"/>
      <c r="F34" s="43"/>
      <c r="G34" s="43"/>
    </row>
    <row r="35" spans="2:7" ht="27.75" customHeight="1" x14ac:dyDescent="0.3">
      <c r="B35" s="7" t="s">
        <v>66</v>
      </c>
      <c r="C35" s="7" t="s">
        <v>67</v>
      </c>
      <c r="D35" s="7" t="s">
        <v>400</v>
      </c>
      <c r="E35" s="7" t="s">
        <v>401</v>
      </c>
      <c r="F35" s="7" t="s">
        <v>402</v>
      </c>
      <c r="G35" s="7" t="s">
        <v>403</v>
      </c>
    </row>
    <row r="36" spans="2:7" ht="31.5" customHeight="1" x14ac:dyDescent="0.3">
      <c r="B36" s="24" t="s">
        <v>124</v>
      </c>
      <c r="C36" s="6" t="s">
        <v>71</v>
      </c>
      <c r="D36" s="6"/>
      <c r="E36" s="6"/>
      <c r="F36" s="28" t="str">
        <f t="shared" ref="F36:F41" si="2">IF(E36="","",E36*VALUE(SUBSTITUTE(C36,"%",""))/100)</f>
        <v/>
      </c>
      <c r="G36" s="25"/>
    </row>
    <row r="37" spans="2:7" ht="31.5" customHeight="1" x14ac:dyDescent="0.3">
      <c r="B37" s="24" t="s">
        <v>128</v>
      </c>
      <c r="C37" s="6" t="s">
        <v>71</v>
      </c>
      <c r="D37" s="6"/>
      <c r="E37" s="6"/>
      <c r="F37" s="28" t="str">
        <f t="shared" si="2"/>
        <v/>
      </c>
      <c r="G37" s="25"/>
    </row>
    <row r="38" spans="2:7" ht="31.5" customHeight="1" x14ac:dyDescent="0.3">
      <c r="B38" s="24" t="s">
        <v>132</v>
      </c>
      <c r="C38" s="6" t="s">
        <v>103</v>
      </c>
      <c r="D38" s="6"/>
      <c r="E38" s="6"/>
      <c r="F38" s="28" t="str">
        <f t="shared" si="2"/>
        <v/>
      </c>
      <c r="G38" s="25"/>
    </row>
    <row r="39" spans="2:7" ht="31.5" customHeight="1" x14ac:dyDescent="0.3">
      <c r="B39" s="24" t="s">
        <v>136</v>
      </c>
      <c r="C39" s="6" t="s">
        <v>80</v>
      </c>
      <c r="D39" s="6"/>
      <c r="E39" s="6"/>
      <c r="F39" s="28" t="str">
        <f t="shared" si="2"/>
        <v/>
      </c>
      <c r="G39" s="25"/>
    </row>
    <row r="40" spans="2:7" ht="31.5" customHeight="1" x14ac:dyDescent="0.3">
      <c r="B40" s="24" t="s">
        <v>140</v>
      </c>
      <c r="C40" s="6" t="s">
        <v>89</v>
      </c>
      <c r="D40" s="6"/>
      <c r="E40" s="6"/>
      <c r="F40" s="28" t="str">
        <f t="shared" si="2"/>
        <v/>
      </c>
      <c r="G40" s="25"/>
    </row>
    <row r="41" spans="2:7" ht="31.5" customHeight="1" x14ac:dyDescent="0.3">
      <c r="B41" s="24" t="s">
        <v>144</v>
      </c>
      <c r="C41" s="6" t="s">
        <v>145</v>
      </c>
      <c r="D41" s="6"/>
      <c r="E41" s="6"/>
      <c r="F41" s="28" t="str">
        <f t="shared" si="2"/>
        <v/>
      </c>
      <c r="G41" s="25"/>
    </row>
    <row r="42" spans="2:7" ht="25.5" customHeight="1" x14ac:dyDescent="0.3">
      <c r="B42" s="29" t="s">
        <v>407</v>
      </c>
      <c r="C42" s="30"/>
      <c r="D42" s="31" t="s">
        <v>405</v>
      </c>
      <c r="E42" s="32" t="str">
        <f>IF(COUNT(E36:E41)=0,"",ROUND(AVERAGE(E36:E41),1))</f>
        <v/>
      </c>
      <c r="F42" s="33" t="str">
        <f>IF(COUNT(F36:F41)=0,"",SUM(F36:F41))</f>
        <v/>
      </c>
      <c r="G42" s="30"/>
    </row>
    <row r="44" spans="2:7" ht="25.5" customHeight="1" x14ac:dyDescent="0.3">
      <c r="B44" s="54" t="s">
        <v>149</v>
      </c>
      <c r="C44" s="43"/>
      <c r="D44" s="43"/>
      <c r="E44" s="43"/>
      <c r="F44" s="43"/>
      <c r="G44" s="43"/>
    </row>
    <row r="45" spans="2:7" ht="27.75" customHeight="1" x14ac:dyDescent="0.3">
      <c r="B45" s="7" t="s">
        <v>66</v>
      </c>
      <c r="C45" s="7" t="s">
        <v>67</v>
      </c>
      <c r="D45" s="7" t="s">
        <v>400</v>
      </c>
      <c r="E45" s="7" t="s">
        <v>401</v>
      </c>
      <c r="F45" s="7" t="s">
        <v>402</v>
      </c>
      <c r="G45" s="7" t="s">
        <v>403</v>
      </c>
    </row>
    <row r="46" spans="2:7" ht="31.5" customHeight="1" x14ac:dyDescent="0.3">
      <c r="B46" s="24" t="s">
        <v>150</v>
      </c>
      <c r="C46" s="6" t="s">
        <v>71</v>
      </c>
      <c r="D46" s="6"/>
      <c r="E46" s="6"/>
      <c r="F46" s="28" t="str">
        <f t="shared" ref="F46:F51" si="3">IF(E46="","",E46*VALUE(SUBSTITUTE(C46,"%",""))/100)</f>
        <v/>
      </c>
      <c r="G46" s="25"/>
    </row>
    <row r="47" spans="2:7" ht="31.5" customHeight="1" x14ac:dyDescent="0.3">
      <c r="B47" s="24" t="s">
        <v>154</v>
      </c>
      <c r="C47" s="6" t="s">
        <v>71</v>
      </c>
      <c r="D47" s="6"/>
      <c r="E47" s="6"/>
      <c r="F47" s="28" t="str">
        <f t="shared" si="3"/>
        <v/>
      </c>
      <c r="G47" s="25"/>
    </row>
    <row r="48" spans="2:7" ht="31.5" customHeight="1" x14ac:dyDescent="0.3">
      <c r="B48" s="24" t="s">
        <v>158</v>
      </c>
      <c r="C48" s="6" t="s">
        <v>103</v>
      </c>
      <c r="D48" s="6"/>
      <c r="E48" s="6"/>
      <c r="F48" s="28" t="str">
        <f t="shared" si="3"/>
        <v/>
      </c>
      <c r="G48" s="25"/>
    </row>
    <row r="49" spans="2:7" ht="31.5" customHeight="1" x14ac:dyDescent="0.3">
      <c r="B49" s="24" t="s">
        <v>162</v>
      </c>
      <c r="C49" s="6" t="s">
        <v>80</v>
      </c>
      <c r="D49" s="6"/>
      <c r="E49" s="6"/>
      <c r="F49" s="28" t="str">
        <f t="shared" si="3"/>
        <v/>
      </c>
      <c r="G49" s="25"/>
    </row>
    <row r="50" spans="2:7" ht="31.5" customHeight="1" x14ac:dyDescent="0.3">
      <c r="B50" s="24" t="s">
        <v>166</v>
      </c>
      <c r="C50" s="6" t="s">
        <v>89</v>
      </c>
      <c r="D50" s="6"/>
      <c r="E50" s="6"/>
      <c r="F50" s="28" t="str">
        <f t="shared" si="3"/>
        <v/>
      </c>
      <c r="G50" s="25"/>
    </row>
    <row r="51" spans="2:7" ht="31.5" customHeight="1" x14ac:dyDescent="0.3">
      <c r="B51" s="24" t="s">
        <v>170</v>
      </c>
      <c r="C51" s="6" t="s">
        <v>145</v>
      </c>
      <c r="D51" s="6"/>
      <c r="E51" s="6"/>
      <c r="F51" s="28" t="str">
        <f t="shared" si="3"/>
        <v/>
      </c>
      <c r="G51" s="25"/>
    </row>
    <row r="52" spans="2:7" ht="25.5" customHeight="1" x14ac:dyDescent="0.3">
      <c r="B52" s="29" t="s">
        <v>408</v>
      </c>
      <c r="C52" s="30"/>
      <c r="D52" s="31" t="s">
        <v>405</v>
      </c>
      <c r="E52" s="32" t="str">
        <f>IF(COUNT(E46:E51)=0,"",ROUND(AVERAGE(E46:E51),1))</f>
        <v/>
      </c>
      <c r="F52" s="33" t="str">
        <f>IF(COUNT(F46:F51)=0,"",SUM(F46:F51))</f>
        <v/>
      </c>
      <c r="G52" s="30"/>
    </row>
    <row r="54" spans="2:7" ht="25.5" customHeight="1" x14ac:dyDescent="0.3">
      <c r="B54" s="56" t="s">
        <v>409</v>
      </c>
      <c r="C54" s="43"/>
      <c r="D54" s="43"/>
      <c r="E54" s="43"/>
      <c r="F54" s="43"/>
      <c r="G54" s="43"/>
    </row>
    <row r="55" spans="2:7" ht="24" customHeight="1" x14ac:dyDescent="0.3">
      <c r="B55" s="3" t="s">
        <v>190</v>
      </c>
      <c r="C55" s="3" t="s">
        <v>410</v>
      </c>
      <c r="D55" s="3" t="s">
        <v>292</v>
      </c>
      <c r="E55" s="45" t="s">
        <v>411</v>
      </c>
      <c r="F55" s="40"/>
      <c r="G55" s="41"/>
    </row>
    <row r="56" spans="2:7" ht="27.75" customHeight="1" x14ac:dyDescent="0.3">
      <c r="B56" s="24" t="s">
        <v>193</v>
      </c>
      <c r="C56" s="24" t="str">
        <f>E22</f>
        <v/>
      </c>
      <c r="D56" s="34" t="str">
        <f>IF(C56="","",IF(C56&gt;=5,"On Track",IF(C56&gt;=3,"Needs Attention","Critical Gap")))</f>
        <v/>
      </c>
      <c r="E56" s="59"/>
      <c r="F56" s="40"/>
      <c r="G56" s="41"/>
    </row>
    <row r="57" spans="2:7" ht="27.75" customHeight="1" x14ac:dyDescent="0.3">
      <c r="B57" s="24" t="s">
        <v>196</v>
      </c>
      <c r="C57" s="24" t="str">
        <f>E32</f>
        <v/>
      </c>
      <c r="D57" s="34" t="str">
        <f>IF(C57="","",IF(C57&gt;=5,"On Track",IF(C57&gt;=3,"Needs Attention","Critical Gap")))</f>
        <v/>
      </c>
      <c r="E57" s="59"/>
      <c r="F57" s="40"/>
      <c r="G57" s="41"/>
    </row>
    <row r="58" spans="2:7" ht="27.75" customHeight="1" x14ac:dyDescent="0.3">
      <c r="B58" s="24" t="s">
        <v>199</v>
      </c>
      <c r="C58" s="24" t="str">
        <f>E42</f>
        <v/>
      </c>
      <c r="D58" s="34" t="str">
        <f>IF(C58="","",IF(C58&gt;=5,"On Track",IF(C58&gt;=3,"Needs Attention","Critical Gap")))</f>
        <v/>
      </c>
      <c r="E58" s="59"/>
      <c r="F58" s="40"/>
      <c r="G58" s="41"/>
    </row>
    <row r="59" spans="2:7" ht="27.75" customHeight="1" x14ac:dyDescent="0.3">
      <c r="B59" s="24" t="s">
        <v>202</v>
      </c>
      <c r="C59" s="24" t="str">
        <f>E52</f>
        <v/>
      </c>
      <c r="D59" s="34" t="str">
        <f>IF(C59="","",IF(C59&gt;=5,"On Track",IF(C59&gt;=3,"Needs Attention","Critical Gap")))</f>
        <v/>
      </c>
      <c r="E59" s="59"/>
      <c r="F59" s="40"/>
      <c r="G59" s="41"/>
    </row>
    <row r="60" spans="2:7" ht="30" customHeight="1" x14ac:dyDescent="0.3">
      <c r="B60" s="35" t="s">
        <v>412</v>
      </c>
      <c r="C60" s="36" t="str">
        <f>IF(COUNT(C56:C59)&lt;4,"",ROUND(AVERAGE(C56:C59),1))</f>
        <v/>
      </c>
      <c r="D60" s="37" t="str">
        <f>IF(C60="","",IF(C60&gt;=5,"STRONG",IF(C60&gt;=3.5,"MODERATE",IF(C60&gt;=2,"WEAK","CRITICAL"))))</f>
        <v/>
      </c>
      <c r="E60" s="38"/>
      <c r="F60" s="38"/>
      <c r="G60" s="38"/>
    </row>
    <row r="62" spans="2:7" ht="25.5" customHeight="1" x14ac:dyDescent="0.3">
      <c r="B62" s="56" t="s">
        <v>413</v>
      </c>
      <c r="C62" s="43"/>
      <c r="D62" s="43"/>
      <c r="E62" s="43"/>
      <c r="F62" s="43"/>
      <c r="G62" s="43"/>
    </row>
    <row r="63" spans="2:7" ht="24" customHeight="1" x14ac:dyDescent="0.3">
      <c r="B63" s="3" t="s">
        <v>414</v>
      </c>
      <c r="C63" s="3" t="s">
        <v>190</v>
      </c>
      <c r="D63" s="45" t="s">
        <v>415</v>
      </c>
      <c r="E63" s="41"/>
      <c r="F63" s="43"/>
      <c r="G63" s="43"/>
    </row>
    <row r="64" spans="2:7" ht="34.5" customHeight="1" x14ac:dyDescent="0.3">
      <c r="B64" s="9" t="s">
        <v>60</v>
      </c>
      <c r="C64" s="9"/>
      <c r="D64" s="58"/>
      <c r="E64" s="41"/>
      <c r="F64" s="62"/>
      <c r="G64" s="41"/>
    </row>
    <row r="65" spans="2:7" ht="34.5" customHeight="1" x14ac:dyDescent="0.3">
      <c r="B65" s="9" t="s">
        <v>56</v>
      </c>
      <c r="C65" s="9"/>
      <c r="D65" s="58"/>
      <c r="E65" s="41"/>
      <c r="F65" s="62"/>
      <c r="G65" s="41"/>
    </row>
    <row r="66" spans="2:7" ht="34.5" customHeight="1" x14ac:dyDescent="0.3">
      <c r="B66" s="9" t="s">
        <v>52</v>
      </c>
      <c r="C66" s="9"/>
      <c r="D66" s="58"/>
      <c r="E66" s="41"/>
      <c r="F66" s="62"/>
      <c r="G66" s="41"/>
    </row>
    <row r="67" spans="2:7" ht="34.5" customHeight="1" x14ac:dyDescent="0.3">
      <c r="B67" s="9" t="s">
        <v>48</v>
      </c>
      <c r="C67" s="9"/>
      <c r="D67" s="58"/>
      <c r="E67" s="41"/>
      <c r="F67" s="62"/>
      <c r="G67" s="41"/>
    </row>
    <row r="69" spans="2:7" ht="25.5" customHeight="1" x14ac:dyDescent="0.3">
      <c r="B69" s="56" t="s">
        <v>416</v>
      </c>
      <c r="C69" s="43"/>
      <c r="D69" s="43"/>
      <c r="E69" s="43"/>
      <c r="F69" s="43"/>
      <c r="G69" s="43"/>
    </row>
    <row r="70" spans="2:7" ht="25.5" customHeight="1" x14ac:dyDescent="0.3">
      <c r="B70" s="26" t="s">
        <v>417</v>
      </c>
      <c r="C70" s="61"/>
      <c r="D70" s="41"/>
      <c r="E70" s="26" t="s">
        <v>418</v>
      </c>
      <c r="F70" s="27"/>
      <c r="G70" s="26" t="s">
        <v>419</v>
      </c>
    </row>
    <row r="71" spans="2:7" ht="25.5" customHeight="1" x14ac:dyDescent="0.3">
      <c r="B71" s="26" t="s">
        <v>420</v>
      </c>
      <c r="C71" s="61"/>
      <c r="D71" s="41"/>
      <c r="E71" s="26" t="s">
        <v>418</v>
      </c>
      <c r="F71" s="27"/>
      <c r="G71" s="26" t="s">
        <v>419</v>
      </c>
    </row>
    <row r="72" spans="2:7" ht="25.5" customHeight="1" x14ac:dyDescent="0.3">
      <c r="B72" s="26" t="s">
        <v>421</v>
      </c>
      <c r="C72" s="61"/>
      <c r="D72" s="41"/>
      <c r="E72" s="26" t="s">
        <v>418</v>
      </c>
      <c r="F72" s="27"/>
      <c r="G72" s="26" t="s">
        <v>422</v>
      </c>
    </row>
  </sheetData>
  <mergeCells count="39">
    <mergeCell ref="C72:D72"/>
    <mergeCell ref="D67:E67"/>
    <mergeCell ref="B12:G12"/>
    <mergeCell ref="F64:G64"/>
    <mergeCell ref="C71:D71"/>
    <mergeCell ref="E56:G56"/>
    <mergeCell ref="E58:G58"/>
    <mergeCell ref="C70:D70"/>
    <mergeCell ref="B62:G62"/>
    <mergeCell ref="F67:G67"/>
    <mergeCell ref="D64:E64"/>
    <mergeCell ref="B69:G69"/>
    <mergeCell ref="F7:G7"/>
    <mergeCell ref="B34:G34"/>
    <mergeCell ref="C10:D10"/>
    <mergeCell ref="E57:G57"/>
    <mergeCell ref="C9:D9"/>
    <mergeCell ref="D66:E66"/>
    <mergeCell ref="F66:G66"/>
    <mergeCell ref="F8:G8"/>
    <mergeCell ref="B24:G24"/>
    <mergeCell ref="F9:G9"/>
    <mergeCell ref="C8:D8"/>
    <mergeCell ref="B54:G54"/>
    <mergeCell ref="E55:G55"/>
    <mergeCell ref="C7:D7"/>
    <mergeCell ref="F65:G65"/>
    <mergeCell ref="F6:G6"/>
    <mergeCell ref="B44:G44"/>
    <mergeCell ref="D65:E65"/>
    <mergeCell ref="E59:G59"/>
    <mergeCell ref="B2:G2"/>
    <mergeCell ref="C6:D6"/>
    <mergeCell ref="F10:G10"/>
    <mergeCell ref="B14:G14"/>
    <mergeCell ref="D63:E63"/>
    <mergeCell ref="F63:G63"/>
    <mergeCell ref="B5:G5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CPST Rating Rubric</vt:lpstr>
      <vt:lpstr>Assessment Protocol</vt:lpstr>
      <vt:lpstr>Case Study Results</vt:lpstr>
      <vt:lpstr>Dataset Coverage</vt:lpstr>
      <vt:lpstr>Assessment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cp:revision>1</cp:revision>
  <dcterms:created xsi:type="dcterms:W3CDTF">2026-05-24T05:31:05Z</dcterms:created>
  <dcterms:modified xsi:type="dcterms:W3CDTF">2026-06-01T07:06:04Z</dcterms:modified>
  <dc:language>en-US</dc:language>
</cp:coreProperties>
</file>