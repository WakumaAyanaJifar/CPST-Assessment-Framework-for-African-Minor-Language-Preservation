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Administrator\Desktop\Africa langauges\"/>
    </mc:Choice>
  </mc:AlternateContent>
  <xr:revisionPtr revIDLastSave="0" documentId="8_{EFD0F91E-140C-43F5-9889-AF9F7A289EE0}" xr6:coauthVersionLast="36" xr6:coauthVersionMax="36" xr10:uidLastSave="{00000000-0000-0000-0000-000000000000}"/>
  <bookViews>
    <workbookView xWindow="0" yWindow="0" windowWidth="23040" windowHeight="8844" tabRatio="500" activeTab="1" xr2:uid="{00000000-000D-0000-FFFF-FFFF00000000}"/>
  </bookViews>
  <sheets>
    <sheet name="README" sheetId="1" r:id="rId1"/>
    <sheet name="CPST Rating Rubric" sheetId="2" r:id="rId2"/>
    <sheet name="Assessment Protocol" sheetId="3" r:id="rId3"/>
    <sheet name="Inter-Rater Reliability" sheetId="4" r:id="rId4"/>
    <sheet name="External Validation" sheetId="5" r:id="rId5"/>
    <sheet name="Case Study Results" sheetId="6" r:id="rId6"/>
    <sheet name="Dataset Coverage" sheetId="7" r:id="rId7"/>
    <sheet name="NLP Evolution" sheetId="8" r:id="rId8"/>
    <sheet name="Framework Comparison" sheetId="9" r:id="rId9"/>
    <sheet name="AI-AGI Capabilities" sheetId="10" r:id="rId10"/>
    <sheet name="Thinking Indicators" sheetId="11" r:id="rId11"/>
    <sheet name="Assessment Template" sheetId="12" r:id="rId12"/>
  </sheet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E54" i="12" l="1"/>
  <c r="E53" i="12"/>
  <c r="E52" i="12"/>
  <c r="E51" i="12"/>
  <c r="E50" i="12"/>
  <c r="E49" i="12"/>
  <c r="E48" i="12"/>
  <c r="E47" i="12"/>
  <c r="E41" i="12"/>
  <c r="E40" i="12"/>
  <c r="E39" i="12"/>
  <c r="E38" i="12"/>
  <c r="E37" i="12"/>
  <c r="E36" i="12"/>
  <c r="E42" i="12" s="1"/>
  <c r="E43" i="12" s="1"/>
  <c r="E32" i="12"/>
  <c r="E31" i="12"/>
  <c r="E30" i="12"/>
  <c r="E29" i="12"/>
  <c r="E28" i="12"/>
  <c r="E27" i="12"/>
  <c r="E26" i="12"/>
  <c r="E25" i="12"/>
  <c r="E19" i="12"/>
  <c r="E18" i="12"/>
  <c r="E17" i="12"/>
  <c r="E16" i="12"/>
  <c r="E15" i="12"/>
  <c r="E14" i="12"/>
  <c r="E20" i="12" s="1"/>
  <c r="E21" i="12" s="1"/>
  <c r="E56" i="12" l="1"/>
</calcChain>
</file>

<file path=xl/sharedStrings.xml><?xml version="1.0" encoding="utf-8"?>
<sst xmlns="http://schemas.openxmlformats.org/spreadsheetml/2006/main" count="1140" uniqueCount="803">
  <si>
    <t>CPST Assessment Framework: Rating Rubric, Protocol, Inter-Rater Reliability, and Case Study Data</t>
  </si>
  <si>
    <t>Supporting: A Cyber-Physical-Social-Thinking (CPST) Framework for African Minor Language Preservation and Revitalization in the AGI Era</t>
  </si>
  <si>
    <t>Ayana, J.W., Lifelo, Z., Mbonihankuye, S., Sarwatt, D.S., Ning, H. (2026)</t>
  </si>
  <si>
    <t>Corresponding author: Zita Lifelo (zita.lifelo@cbu.ac.zm)</t>
  </si>
  <si>
    <t>Submitted to: Scientific African</t>
  </si>
  <si>
    <t>WORKBOOK CONTENTS</t>
  </si>
  <si>
    <t>Description</t>
  </si>
  <si>
    <t>Content Summary</t>
  </si>
  <si>
    <t>CPST Rating Rubric</t>
  </si>
  <si>
    <t>Detailed scoring criteria for all 4 dimensions</t>
  </si>
  <si>
    <t>6-level rating scale, 24 criterion definitions, evidence requirements, assessment guidance</t>
  </si>
  <si>
    <t>Assessment Protocol</t>
  </si>
  <si>
    <t>Structured qualitative methodology documentation</t>
  </si>
  <si>
    <t>Protocol overview, 7-step data collection protocol, quality assurance measures, inter-rater reliability stats</t>
  </si>
  <si>
    <t>Inter-Rater Reliability</t>
  </si>
  <si>
    <t>Formal reliability statistics and disagreement log</t>
  </si>
  <si>
    <t>Cohen's kappa, weighted kappa, Fleiss' kappa, 95% CI, disagreement documentation with evidence</t>
  </si>
  <si>
    <t>External Validation</t>
  </si>
  <si>
    <t>Proxy indicators for external validity</t>
  </si>
  <si>
    <t>Independently verifiable indicators triangulating author-team ratings</t>
  </si>
  <si>
    <t>Case Study Results</t>
  </si>
  <si>
    <t>Comparative CPST profiles of 5 African countries</t>
  </si>
  <si>
    <t>Ghana, Nigeria, Ethiopia, South Africa, Kenya ratings with chart and diagnostic findings</t>
  </si>
  <si>
    <t>Dataset Coverage</t>
  </si>
  <si>
    <t>African language coverage across 6 major benchmarks</t>
  </si>
  <si>
    <t>17 languages mapped across AfriSenti, MasakhaNER, AfroLM, NLLB-200, Common Voice</t>
  </si>
  <si>
    <t>NLP Evolution</t>
  </si>
  <si>
    <t>Evolution of the African NLP ecosystem (2020-2026)</t>
  </si>
  <si>
    <t>Three phases: Foundational, Expansion, Maturity with milestones and references</t>
  </si>
  <si>
    <t>Framework Comparison</t>
  </si>
  <si>
    <t>Comparison of CPST with related frameworks</t>
  </si>
  <si>
    <t>Sociotechnical systems, language ecology, decolonial computing, DLVS, UNESCO factors</t>
  </si>
  <si>
    <t>AI-AGI Capabilities</t>
  </si>
  <si>
    <t>Mapping of AI/AGI capabilities to CPST dimensions</t>
  </si>
  <si>
    <t>Current AI, near-future AI, and AGI across 4 CPST dimensions</t>
  </si>
  <si>
    <t>Thinking Indicators</t>
  </si>
  <si>
    <t>Operationalisation of Thinking dimension</t>
  </si>
  <si>
    <t>Measurable indicators and assessment methods for 5 sub-dimensions</t>
  </si>
  <si>
    <t>Assessment Template</t>
  </si>
  <si>
    <t>Blank field assessment form for new evaluations</t>
  </si>
  <si>
    <t>Ready-to-use template with formulas for weighted scoring, auto-calculated subtotals</t>
  </si>
  <si>
    <t>Supplementary Material for: A Cyber-Physical-Social-Thinking (CPST) Framework for African Minor Language Preservation and Revitalization in the AGI Era</t>
  </si>
  <si>
    <t>RATING SCALE DEFINITIONS</t>
  </si>
  <si>
    <t>Rating</t>
  </si>
  <si>
    <t>Label</t>
  </si>
  <si>
    <t>Definition</t>
  </si>
  <si>
    <t>Numeric Value</t>
  </si>
  <si>
    <t>Color Code</t>
  </si>
  <si>
    <t>Strong</t>
  </si>
  <si>
    <t>Well-developed infrastructure with documented evidence of sustained impact and active community engagement</t>
  </si>
  <si>
    <t>Dark Green</t>
  </si>
  <si>
    <t>Moderate</t>
  </si>
  <si>
    <t>Established infrastructure with some evidence of deployment but limited reach or sustainability concerns</t>
  </si>
  <si>
    <t>Light Green</t>
  </si>
  <si>
    <t>Mixed</t>
  </si>
  <si>
    <t>Uneven development: some sub-dimensions strong while others remain weak or underdeveloped</t>
  </si>
  <si>
    <t>Yellow</t>
  </si>
  <si>
    <t>Emerging</t>
  </si>
  <si>
    <t>Initial efforts visible but not yet operational or scalable; pilot-stage initiatives</t>
  </si>
  <si>
    <t>Orange</t>
  </si>
  <si>
    <t>Weak</t>
  </si>
  <si>
    <t>Minimal infrastructure; fragmented or ad-hoc efforts without coordination</t>
  </si>
  <si>
    <t>Red-Orange</t>
  </si>
  <si>
    <t>Not Addressed</t>
  </si>
  <si>
    <t>No identifiable initiatives or infrastructure in this dimension</t>
  </si>
  <si>
    <t>Red</t>
  </si>
  <si>
    <t>DIMENSION-SPECIFIC ASSESSMENT CRITERIA</t>
  </si>
  <si>
    <t>DIMENSION 1: CYBER (Digital Infrastructure)</t>
  </si>
  <si>
    <t>Criterion</t>
  </si>
  <si>
    <t>Weight</t>
  </si>
  <si>
    <t>Evidence Required</t>
  </si>
  <si>
    <t>Assessment Guidance</t>
  </si>
  <si>
    <t>C1. Digital Corpora</t>
  </si>
  <si>
    <t>25%</t>
  </si>
  <si>
    <t>Availability and quality of text, speech, and multimodal datasets</t>
  </si>
  <si>
    <t>Corpus size, language coverage, annotation quality, open-source availability</t>
  </si>
  <si>
    <t>Check Hugging Face, GitHub, academic papers for documented corpora; verify language counts and data formats</t>
  </si>
  <si>
    <t>C2. Language Models</t>
  </si>
  <si>
    <t>Pre-trained and fine-tuned models for language understanding and generation</t>
  </si>
  <si>
    <t>Model checkpoints, evaluation scores, architecture documentation</t>
  </si>
  <si>
    <t>Verify model availability on model hubs; check benchmark performance against established baselines</t>
  </si>
  <si>
    <t>C3. Machine Translation</t>
  </si>
  <si>
    <t>15%</t>
  </si>
  <si>
    <t>Translation systems supporting the language</t>
  </si>
  <si>
    <t>BLEU/chrF scores, human evaluation, language pair coverage</t>
  </si>
  <si>
    <t>Test translation quality; check NLLB-200 coverage and specialized MT systems</t>
  </si>
  <si>
    <t>C4. Speech Technology</t>
  </si>
  <si>
    <t>ASR and TTS systems and resources</t>
  </si>
  <si>
    <t>WER for ASR, MOS for TTS, hours of speech data available</t>
  </si>
  <si>
    <t>Evaluate speech demos; check Common Voice contributions; verify acoustic model availability</t>
  </si>
  <si>
    <t>C5. Benchmarks</t>
  </si>
  <si>
    <t>10%</t>
  </si>
  <si>
    <t>Standardised evaluation datasets and leaderboards</t>
  </si>
  <si>
    <t>Number of tasks, language coverage, benchmark citations</t>
  </si>
  <si>
    <t>Check AfroBench, IrokoBench, Sahara inclusion; verify leaderboard appearance</t>
  </si>
  <si>
    <t>C6. APIs &amp; Platforms</t>
  </si>
  <si>
    <t>Accessible interfaces for end-user applications</t>
  </si>
  <si>
    <t>API documentation, uptime, usage statistics, developer community</t>
  </si>
  <si>
    <t>Test API endpoints; check documentation completeness; verify active developer forum</t>
  </si>
  <si>
    <t>DIMENSION 2: PHYSICAL (Tangible Infrastructure)</t>
  </si>
  <si>
    <t>P1. Offline Deployment</t>
  </si>
  <si>
    <t>Pre-loaded devices, SD cards, USB drives for low-connectivity areas</t>
  </si>
  <si>
    <t>Distribution numbers, device specifications, content pre-loaded</t>
  </si>
  <si>
    <t>Check for offline-first design; verify distribution reach in rural areas; request deployment reports</t>
  </si>
  <si>
    <t>P2. Print Materials</t>
  </si>
  <si>
    <t>20%</t>
  </si>
  <si>
    <t>Textbooks, dictionaries, signage in the target language</t>
  </si>
  <si>
    <t>Publication counts, distribution channels, usage in schools</t>
  </si>
  <si>
    <t>Visit schools/community centers; check publisher catalogs; verify ministry procurement records</t>
  </si>
  <si>
    <t>P3. Community Radio</t>
  </si>
  <si>
    <t>Radio broadcasts in indigenous languages</t>
  </si>
  <si>
    <t>Broadcast hours, geographic coverage, listener surveys</t>
  </si>
  <si>
    <t>Contact radio stations; check broadcast schedules and coverage maps; verify listener reach data</t>
  </si>
  <si>
    <t>P4. Writing Systems</t>
  </si>
  <si>
    <t>Standardised orthographies and Unicode support</t>
  </si>
  <si>
    <t>Unicode status, font availability, keyboard layout support</t>
  </si>
  <si>
    <t>Verify Unicode block allocation; test input methods on major OS; check font availability</t>
  </si>
  <si>
    <t>P5. Public Signage</t>
  </si>
  <si>
    <t>Government signage, administrative forms in the language</t>
  </si>
  <si>
    <t>Documentation of official language use in public spaces</t>
  </si>
  <si>
    <t>Photograph/document public signage; check government websites for multilingual services</t>
  </si>
  <si>
    <t>P6. Storage &amp; Archive</t>
  </si>
  <si>
    <t>Physical and offline digital preservation of language materials</t>
  </si>
  <si>
    <t>Archive accessibility, backup protocols, redundancy measures</t>
  </si>
  <si>
    <t>Check national archives; verify community-held materials; confirm disaster recovery procedures</t>
  </si>
  <si>
    <t>DIMENSION 3: SOCIAL (Institutions &amp; Community)</t>
  </si>
  <si>
    <t>S1. Institutional Partnerships</t>
  </si>
  <si>
    <t>Government, university, NGO, and industry collaborations</t>
  </si>
  <si>
    <t>MOUs, joint projects, funding streams, policy documents</t>
  </si>
  <si>
    <t>Review partnership agreements; check institutional websites; verify funding continuation</t>
  </si>
  <si>
    <t>S2. Community Engagement</t>
  </si>
  <si>
    <t>Native speaker involvement in data collection and validation</t>
  </si>
  <si>
    <t>Volunteer network size, annotation workflows, community events</t>
  </si>
  <si>
    <t>Check Masakhane-style participatory models; verify community governance structures; count active contributors</t>
  </si>
  <si>
    <t>S3. Capacity Building</t>
  </si>
  <si>
    <t>Training programmes for local NLP researchers and practitioners</t>
  </si>
  <si>
    <t>Number of trainees, curriculum availability, career outcomes</t>
  </si>
  <si>
    <t>Check Deep Learning Indaba, African Languages Lab participation; verify alumni career trajectories</t>
  </si>
  <si>
    <t>S4. Policy Integration</t>
  </si>
  <si>
    <t>National language policies supporting digital language technology</t>
  </si>
  <si>
    <t>Policy documents, implementation reports, budget allocations</t>
  </si>
  <si>
    <t>Review national language policies; check UNESCO IDIL action plans; verify budget line items</t>
  </si>
  <si>
    <t>S5. Cross-Lingual Platforms</t>
  </si>
  <si>
    <t>Digital platforms enabling multilingual community interaction</t>
  </si>
  <si>
    <t>Platform user numbers, language pair coverage, content moderation</t>
  </si>
  <si>
    <t>Check social media presence; evaluate platform accessibility; verify multilingual support quality</t>
  </si>
  <si>
    <t>S6. Sustainability</t>
  </si>
  <si>
    <t>5%</t>
  </si>
  <si>
    <t>Long-term funding and organisational continuity plans</t>
  </si>
  <si>
    <t>Funding sources, organisational structure, succession planning</t>
  </si>
  <si>
    <t>Review grant awards; check organisational sustainability reports; verify backup leadership structures</t>
  </si>
  <si>
    <t>DIMENSION 4: THINKING (Cognition &amp; Identity)</t>
  </si>
  <si>
    <t>T1. Linguistic Identity</t>
  </si>
  <si>
    <t>Community attitudes toward the language as part of cultural identity</t>
  </si>
  <si>
    <t>Survey data, interview transcripts, social media sentiment analysis</t>
  </si>
  <si>
    <t>Conduct or locate attitude surveys; analyse social media discourse; check census language questions</t>
  </si>
  <si>
    <t>T2. Participatory Design</t>
  </si>
  <si>
    <t>Community involvement in technology design and governance</t>
  </si>
  <si>
    <t>Design workshop records, community review board minutes, consent protocols</t>
  </si>
  <si>
    <t>Check for community co-design sessions; verify data sovereignty agreements; review governance board composition</t>
  </si>
  <si>
    <t>T3. Technology Trust</t>
  </si>
  <si>
    <t>Community confidence in AI/AGI language tools</t>
  </si>
  <si>
    <t>User acceptance studies, trust surveys, adoption rate data</t>
  </si>
  <si>
    <t>Conduct user studies; monitor app download and retention rates; check app store reviews</t>
  </si>
  <si>
    <t>T4. Prestige &amp; Status</t>
  </si>
  <si>
    <t>Perceived social and economic value of the language</t>
  </si>
  <si>
    <t>Employment data, educational outcomes, intergenerational transmission rates</t>
  </si>
  <si>
    <t>Track language use across generations; correlate with socioeconomic factors; check media representation</t>
  </si>
  <si>
    <t>T5. Epistemic Justice</t>
  </si>
  <si>
    <t>Recognition of indigenous knowledge systems in technology</t>
  </si>
  <si>
    <t>Citation of local experts, knowledge co-production documentation</t>
  </si>
  <si>
    <t>Check authorship of papers; verify community knowledge attribution; review benefit-sharing arrangements</t>
  </si>
  <si>
    <t>T6. Usability Indicators</t>
  </si>
  <si>
    <t>Accessibility, ease of use, and user experience of language technology interfaces</t>
  </si>
  <si>
    <t>UX testing results, error rates, task completion times, cognitive load metrics</t>
  </si>
  <si>
    <t>Conduct UX studies with elderly and low-literacy users; measure task completion rates; record error frequency</t>
  </si>
  <si>
    <t>Structured qualitative assessment methodology for CPST dimension mapping</t>
  </si>
  <si>
    <t>PROTOCOL OVERVIEW</t>
  </si>
  <si>
    <t>Purpose</t>
  </si>
  <si>
    <t>To systematically evaluate language preservation initiatives across the four CPST dimensions using structured qualitative criteria</t>
  </si>
  <si>
    <t>Method</t>
  </si>
  <si>
    <t>Document analysis, project documentation review, and expert triangulation</t>
  </si>
  <si>
    <t>Data Sources</t>
  </si>
  <si>
    <t>Peer-reviewed papers, technical reports, project websites, benchmark documentation, news articles, policy documents</t>
  </si>
  <si>
    <t>Rating Scale</t>
  </si>
  <si>
    <t>Strong (6), Moderate (5), Mixed (4), Emerging (3), Weak (2), Not addressed (1)</t>
  </si>
  <si>
    <t>Independence</t>
  </si>
  <si>
    <t>Two authors independently review documents; disagreements resolved through discussion; third author consulted for remaining cases</t>
  </si>
  <si>
    <t>Min. Sources</t>
  </si>
  <si>
    <t>Convergence of at least two independent documentary sources required for each rating (from distinct source categories)</t>
  </si>
  <si>
    <t>Blinding</t>
  </si>
  <si>
    <t>Raters blinded to each other's ratings until consensus meeting</t>
  </si>
  <si>
    <t>DIMENSION MAPPING CRITERIA</t>
  </si>
  <si>
    <t>Cyber</t>
  </si>
  <si>
    <t>Presence and quality of digital corpora, models, APIs, or platforms; evidence of usage; open-source availability. Strong: Multiple high-quality datasets and models publicly available; Moderate: Some digital resources exist but limited; Weak: Minimal or no digital infrastructure</t>
  </si>
  <si>
    <t>Physical</t>
  </si>
  <si>
    <t>Existence of offline deployment (SD cards, tablets, radio), printed materials (textbooks, signage), or infrastructure (broadcast, Unicode standards). Strong: Comprehensive offline deployment and print materials; Moderate: Some physical anchors exist; Weak: No tangible infrastructure</t>
  </si>
  <si>
    <t>Social</t>
  </si>
  <si>
    <t>Institutional partnerships (government, academia, NGOs), community engagement (volunteer networks, training programmes), policy support. Strong: Multi-stakeholder partnerships with active community engagement; Moderate: Some institutional support; Weak: Isolated efforts without institutional backing</t>
  </si>
  <si>
    <t>Thinking</t>
  </si>
  <si>
    <t>Evidence of participatory design, community ownership, linguistic pride measures (surveys, testimonials), or prestige campaigns. Strong: Documented community ownership and prestige building; Moderate: Some participatory elements; Weak: No evidence of community involvement or pride initiatives</t>
  </si>
  <si>
    <t>DATA COLLECTION PROTOCOL (7-STEP)</t>
  </si>
  <si>
    <t>Step</t>
  </si>
  <si>
    <t>Activity</t>
  </si>
  <si>
    <t>Output</t>
  </si>
  <si>
    <t>1. Source Identification</t>
  </si>
  <si>
    <t>Identify all publicly available materials: peer-reviewed papers, technical reports, project websites, benchmark documentation, news articles, policy documents</t>
  </si>
  <si>
    <t>Comprehensive source list with URLs and access dates</t>
  </si>
  <si>
    <t>2. Document Collection</t>
  </si>
  <si>
    <t>Download and archive all identified documents. Record metadata: author, date, type, URL, archive location</t>
  </si>
  <si>
    <t>Organised document repository with metadata</t>
  </si>
  <si>
    <t>3. Evidence Extraction</t>
  </si>
  <si>
    <t>For each CPST dimension, extract relevant evidence from each document using the dimension-specific criteria</t>
  </si>
  <si>
    <t>Structured evidence matrix (document x dimension)</t>
  </si>
  <si>
    <t>4. Independent Rating</t>
  </si>
  <si>
    <t>Two assessors independently rate each dimension (1-6) based on convergent evidence from at least two sources, with justification notes</t>
  </si>
  <si>
    <t>Independent rating sheets with justification notes</t>
  </si>
  <si>
    <t>5. Consensus Meeting</t>
  </si>
  <si>
    <t>Assessors meet to discuss ratings. Disagreements resolved through evidence-based discussion referencing rubric criteria</t>
  </si>
  <si>
    <t>Consensus rating with documented rationale</t>
  </si>
  <si>
    <t>6. Third-Party Review</t>
  </si>
  <si>
    <t>For remaining disagreements, a third assessor reviews evidence and adjudicates final rating</t>
  </si>
  <si>
    <t>Final adjudicated ratings</t>
  </si>
  <si>
    <t>7. Synthesis</t>
  </si>
  <si>
    <t>Aggregate ratings across all case studies to identify patterns, gaps, and strategic recommendations</t>
  </si>
  <si>
    <t>Comparative analysis table and narrative synthesis</t>
  </si>
  <si>
    <t>QUALITY ASSURANCE MEASURES</t>
  </si>
  <si>
    <t>Measure</t>
  </si>
  <si>
    <t>Triangulation</t>
  </si>
  <si>
    <t>Ratings require convergence of at least two independent documentary sources from distinct categories</t>
  </si>
  <si>
    <t>Inter-rater Reliability</t>
  </si>
  <si>
    <t>Two independent assessors; Cohen's kappa, weighted kappa, and Fleiss' kappa calculated (see Inter-Rater Reliability sheet)</t>
  </si>
  <si>
    <t>Audit Trail</t>
  </si>
  <si>
    <t>All evidence, ratings, and decision rationales documented and archived</t>
  </si>
  <si>
    <t>Source Transparency</t>
  </si>
  <si>
    <t>All sources cited with URLs and access dates for reproducibility</t>
  </si>
  <si>
    <t>Bias Mitigation</t>
  </si>
  <si>
    <t>Assessors blinded to each other's ratings until consensus meeting</t>
  </si>
  <si>
    <t>Limitation Acknowledgment</t>
  </si>
  <si>
    <t>Documentary sources may not capture informal or recent developments; author-team ratings require external validation</t>
  </si>
  <si>
    <t>Disagreement Logging</t>
  </si>
  <si>
    <t>All rating disagreements documented with each rater's evidence, discussion summary, and resolution rationale</t>
  </si>
  <si>
    <t>CPST Dimension Ratings: Formal Reliability Analysis</t>
  </si>
  <si>
    <t>SUMMARY STATISTICS</t>
  </si>
  <si>
    <t>Statistic</t>
  </si>
  <si>
    <t>Value</t>
  </si>
  <si>
    <t>Interpretation (Landis &amp; Koch, 1977)</t>
  </si>
  <si>
    <t>Notes</t>
  </si>
  <si>
    <t>Total ratings</t>
  </si>
  <si>
    <t>20 (5 countries x 4 dimensions)</t>
  </si>
  <si>
    <t>-</t>
  </si>
  <si>
    <t>N = 20 ordinal ratings</t>
  </si>
  <si>
    <t>Number of disagreements</t>
  </si>
  <si>
    <t>2</t>
  </si>
  <si>
    <t>Both were 1-point (adjacent category) disagreements</t>
  </si>
  <si>
    <t>Raw agreement</t>
  </si>
  <si>
    <t>90.0% (18/20)</t>
  </si>
  <si>
    <t>18 ratings agreed exactly; 2 disagreed by 1 category</t>
  </si>
  <si>
    <t>Cohen's kappa (unweighted)</t>
  </si>
  <si>
    <t>Almost perfect (0.81-1.00)</t>
  </si>
  <si>
    <t>Accounts for chance agreement in categorical data</t>
  </si>
  <si>
    <t>Weighted kappa (linear)</t>
  </si>
  <si>
    <t>Penalises larger disagreements more; appropriate for ordinal scale</t>
  </si>
  <si>
    <t>Fleiss' kappa (3 raters)</t>
  </si>
  <si>
    <t>Accounts for third-author adjudication of 2 disagreements</t>
  </si>
  <si>
    <t>Standard Error of kappa</t>
  </si>
  <si>
    <t>SE = sqrt[Po(1-Po)/(n(1-Pe)^2)]</t>
  </si>
  <si>
    <t>95% Confidence Interval</t>
  </si>
  <si>
    <t>[0.689, 1.042]</t>
  </si>
  <si>
    <t>Lower bound: Substantial (0.61-0.80)</t>
  </si>
  <si>
    <t>Z = 9.62, p &lt; 0.001 for H0: kappa=0</t>
  </si>
  <si>
    <t>Z-score</t>
  </si>
  <si>
    <t>Highly significant rejection of null hypothesis</t>
  </si>
  <si>
    <t>P-value (H0: kappa=0)</t>
  </si>
  <si>
    <t>&lt; 0.001</t>
  </si>
  <si>
    <t>Agreement is significantly better than chance</t>
  </si>
  <si>
    <t>KAPPA INTERPRETATION SCALE (Landis &amp; Koch, 1977)</t>
  </si>
  <si>
    <t>Kappa Range</t>
  </si>
  <si>
    <t>Interpretation</t>
  </si>
  <si>
    <t>&lt; 0.00</t>
  </si>
  <si>
    <t>Poor</t>
  </si>
  <si>
    <t>0.00 - 0.20</t>
  </si>
  <si>
    <t>Slight agreement</t>
  </si>
  <si>
    <t>0.21 - 0.40</t>
  </si>
  <si>
    <t>Fair agreement</t>
  </si>
  <si>
    <t>0.41 - 0.60</t>
  </si>
  <si>
    <t>Moderate agreement</t>
  </si>
  <si>
    <t>0.61 - 0.80</t>
  </si>
  <si>
    <t>Substantial agreement</t>
  </si>
  <si>
    <t>0.81 - 1.00</t>
  </si>
  <si>
    <t>Almost perfect agreement</t>
  </si>
  <si>
    <t>&gt; 1.00</t>
  </si>
  <si>
    <t>Perfect agreement (theoretical upper bound)</t>
  </si>
  <si>
    <t>CONSENSUS RATING DISTRIBUTION</t>
  </si>
  <si>
    <t>Count</t>
  </si>
  <si>
    <t>Percentage</t>
  </si>
  <si>
    <t>30.0%</t>
  </si>
  <si>
    <t>25.0%</t>
  </si>
  <si>
    <t>10.0%</t>
  </si>
  <si>
    <t>5.0%</t>
  </si>
  <si>
    <t>0.0%</t>
  </si>
  <si>
    <t>TOTAL</t>
  </si>
  <si>
    <t>100.0%</t>
  </si>
  <si>
    <t>MARGINAL DISTRIBUTION (used for chance agreement calculation)</t>
  </si>
  <si>
    <t>Proportion (p_i)</t>
  </si>
  <si>
    <t>Expected agreement (Pe)</t>
  </si>
  <si>
    <t>Observed agreement (Po)</t>
  </si>
  <si>
    <t>Kappa</t>
  </si>
  <si>
    <t>DETAILED DISAGREEMENT LOG</t>
  </si>
  <si>
    <t>All disagreements between Rater A and Rater B, with evidence, discussion, and resolution</t>
  </si>
  <si>
    <t>DISAGREEMENT 1: Ethiopia -- Cyber Dimension</t>
  </si>
  <si>
    <t>Rater A rating:</t>
  </si>
  <si>
    <t>5 (Moderate)</t>
  </si>
  <si>
    <t>Rater B rating:</t>
  </si>
  <si>
    <t>4 (Mixed)</t>
  </si>
  <si>
    <t>Rater A evidence:</t>
  </si>
  <si>
    <t>EthioLLM covers 6 languages; Amharic ASR/TTS systems are mature; Addis Ababa University has active NLP research group; Ge'ez script has full Unicode support.</t>
  </si>
  <si>
    <t>Rater B evidence:</t>
  </si>
  <si>
    <t>Cyber resources concentrated almost entirely on Amharic; Oromo, Somali, Tigrinya have minimal computational support; no major benchmark participation beyond Amharic; EthioMT coverage is limited in practical deployment.</t>
  </si>
  <si>
    <t>Discussion:</t>
  </si>
  <si>
    <t>Rater A emphasised the existence of functional systems for the national language; Rater B emphasised the narrow language coverage. The consensus was that while Amharic resources are genuinely mature, the dimension criterion requires coverage across the country's major languages, not just the dominant one. Rating 4 (Mixed) was adopted to reflect uneven development.</t>
  </si>
  <si>
    <t>Final consensus rating:</t>
  </si>
  <si>
    <t>Time to resolution:</t>
  </si>
  <si>
    <t>12 minutes</t>
  </si>
  <si>
    <t>Resolution method:</t>
  </si>
  <si>
    <t>Evidence-based discussion (no third-author adjudication needed)</t>
  </si>
  <si>
    <t>DISAGREEMENT 2: South Africa -- Thinking Dimension</t>
  </si>
  <si>
    <t>6 (Strong)</t>
  </si>
  <si>
    <t>Constitutional recognition of 11 official languages creates structural prestige; PanSALB exists; active multilingual education policy; Deep Learning Indaba promotes linguistic diversity; multiple indigenous languages visible in public media.</t>
  </si>
  <si>
    <t>Urban youth in Johannesburg and Cape Town increasingly prefer English; rural-urban prestige divide is well-documented; isiZulu and isiXhosa have higher prestige than Venda or Tsonga; English dominates higher education and professional domains.</t>
  </si>
  <si>
    <t>Rater A emphasised formal institutional support; Rater B emphasised lived sociolinguistic reality. The consensus was that constitutional provisions, while important, do not automatically translate into community-level prestige for all languages. The urban-rural divide and intra-African language hierarchy (major languages vs. minor ones) justify Moderate rather than Strong.</t>
  </si>
  <si>
    <t>18 minutes</t>
  </si>
  <si>
    <t>SUMMARY</t>
  </si>
  <si>
    <t>Total disagreements:</t>
  </si>
  <si>
    <t>Maximum disagreement magnitude:</t>
  </si>
  <si>
    <t>1 category (adjacent)</t>
  </si>
  <si>
    <t>Third-author adjudications required:</t>
  </si>
  <si>
    <t>0</t>
  </si>
  <si>
    <t>Total discussion time:</t>
  </si>
  <si>
    <t>30 minutes</t>
  </si>
  <si>
    <t>NOTE: Both disagreements involved adjacent categories (difference of 1 point), indicating that raters were well-calibrated overall. No disagreements exceeded one category, and all disagreements were resolved through evidence-based discussion without requiring third-author adjudication.</t>
  </si>
  <si>
    <t>EXTERNAL VALIDATION THROUGH PROXY INDICATORS</t>
  </si>
  <si>
    <t>Independently verifiable indicators triangulating author-team CPST ratings</t>
  </si>
  <si>
    <t>PURPOSE</t>
  </si>
  <si>
    <t>This sheet documents externally verifiable proxy indicators used to triangulate author-team CPST dimension ratings. These indicators do not constitute full community validation (which requires primary community surveys and focus groups), but provide an external anchor for author-team assessments by linking ratings to independently auditable facts.</t>
  </si>
  <si>
    <t>PROXY INDICATORS TABLE</t>
  </si>
  <si>
    <t>Country</t>
  </si>
  <si>
    <t>Dimension</t>
  </si>
  <si>
    <t>Rating (Consensus)</t>
  </si>
  <si>
    <t>Externally Verifiable Indicator</t>
  </si>
  <si>
    <t>Source Type</t>
  </si>
  <si>
    <t>Source Reference</t>
  </si>
  <si>
    <t>Validation Strength</t>
  </si>
  <si>
    <t>Nigeria</t>
  </si>
  <si>
    <t>NITDA partnership documented in official government announcements</t>
  </si>
  <si>
    <t>Government document</t>
  </si>
  <si>
    <t>NITDA press releases, 2024-2025</t>
  </si>
  <si>
    <t>High</t>
  </si>
  <si>
    <t>NKENNE platform reports 400,000+ registered learners</t>
  </si>
  <si>
    <t>Platform analytics</t>
  </si>
  <si>
    <t>NKENNE.ai public statistics</t>
  </si>
  <si>
    <t>NKENNE public documentation states 'designed for African languages from the ground up'</t>
  </si>
  <si>
    <t>Public documentation</t>
  </si>
  <si>
    <t>NKENNE about page, GitHub README</t>
  </si>
  <si>
    <t>Ethiopia</t>
  </si>
  <si>
    <t>Ge'ez script standardised in Unicode 3.0 (1999)</t>
  </si>
  <si>
    <t>International standard</t>
  </si>
  <si>
    <t>Unicode Consortium, Unicode 3.0 specification</t>
  </si>
  <si>
    <t>Mother-tongue primary education policy enacted at federal level</t>
  </si>
  <si>
    <t>Federal law</t>
  </si>
  <si>
    <t>Ethiopian Ministry of Education policy documents</t>
  </si>
  <si>
    <t>Documented positive youth attitudes toward digital mother-tongue communication as source of pride</t>
  </si>
  <si>
    <t>Survey data</t>
  </si>
  <si>
    <t>Academic publications on Ethiopian digital linguistic identity</t>
  </si>
  <si>
    <t>South Africa</t>
  </si>
  <si>
    <t>Constitutional recognition of 11 official languages (Section 6, Constitution of RSA 1996)</t>
  </si>
  <si>
    <t>Constitutional provision</t>
  </si>
  <si>
    <t>Constitution of the Republic of South Africa, 1996</t>
  </si>
  <si>
    <t>Ghana</t>
  </si>
  <si>
    <t>GhanaNLP parallel corpus: 41,500 sentences for 5 languages (open repository)</t>
  </si>
  <si>
    <t>Open repository</t>
  </si>
  <si>
    <t>GitHub: GhanaNLP, peer-reviewed publication (Abena et al.)</t>
  </si>
  <si>
    <t>Khaya AI translation API publicly accessible with documentation</t>
  </si>
  <si>
    <t>Technical product</t>
  </si>
  <si>
    <t>Khaya AI website, API documentation</t>
  </si>
  <si>
    <t>Nsanku benchmark evaluates 43 Ghanaian languages (published)</t>
  </si>
  <si>
    <t>Benchmark publication</t>
  </si>
  <si>
    <t>Nsanku paper, arXiv/HuggingFace repository</t>
  </si>
  <si>
    <t>Kenya</t>
  </si>
  <si>
    <t>AfriVoices-KE dataset: 3,000 hours of multilingual speech for 5 languages</t>
  </si>
  <si>
    <t>Dataset publication</t>
  </si>
  <si>
    <t>Wanzare et al., peer-reviewed paper</t>
  </si>
  <si>
    <t>VALIDATION STRENGTH KEY</t>
  </si>
  <si>
    <t>High:</t>
  </si>
  <si>
    <t>Independently auditable fact verifiable by any researcher without author-team involvement</t>
  </si>
  <si>
    <t>Moderate:</t>
  </si>
  <si>
    <t>Publicly documented claim from credible source but requires author-team interpretation to link to CPST rating</t>
  </si>
  <si>
    <t>Low:</t>
  </si>
  <si>
    <t>Indirect indicator requiring substantial inference to connect to CPST dimension</t>
  </si>
  <si>
    <t>LIMITATIONS OF PROXY VALIDATION</t>
  </si>
  <si>
    <t>Limitation</t>
  </si>
  <si>
    <t>Mitigation Strategy</t>
  </si>
  <si>
    <t>Confirmation bias</t>
  </si>
  <si>
    <t>Author-team may overestimate dimension strength based on familiarity with projects</t>
  </si>
  <si>
    <t>Future: blinded independent assessment by unaffiliated researchers</t>
  </si>
  <si>
    <t>Limited Thinking indicators</t>
  </si>
  <si>
    <t>Only 1 moderate-strength proxy for Thinking dimension (Ethiopia); other countries lack community survey data</t>
  </si>
  <si>
    <t>Future: community-designed survey instruments; focus group validation</t>
  </si>
  <si>
    <t>Documentary bias</t>
  </si>
  <si>
    <t>Proxy indicators rely on published documents which may not reflect current reality</t>
  </si>
  <si>
    <t>Future: longitudinal panel studies with repeated measurement</t>
  </si>
  <si>
    <t>Selection bias in cases</t>
  </si>
  <si>
    <t>All 5 cases are 'positive cases' with active NLP ecosystems</t>
  </si>
  <si>
    <t>Future: apply CPST framework to negative cases with minimal NLP infrastructure</t>
  </si>
  <si>
    <t>No community voice</t>
  </si>
  <si>
    <t>No community members were involved in rating or validation; Thinking dimension claims about 'trust and identity' lack community corroboration</t>
  </si>
  <si>
    <t>Future: participatory community review boards; community-led validation workshops (ESSENTIAL)</t>
  </si>
  <si>
    <t>RECOMMENDED EXTERNAL VALIDATION PROTOCOL (Future Work)</t>
  </si>
  <si>
    <t>Phase</t>
  </si>
  <si>
    <t>Timeline</t>
  </si>
  <si>
    <t>Responsible Party</t>
  </si>
  <si>
    <t>1. Instrument design</t>
  </si>
  <si>
    <t>Community co-design of language vitality survey instruments adapted to local cultural contexts</t>
  </si>
  <si>
    <t>Months 1-3</t>
  </si>
  <si>
    <t>Local researchers + community representatives</t>
  </si>
  <si>
    <t>2. Data collection</t>
  </si>
  <si>
    <t>Structured surveys, focus groups, and interviews in all 5 countries across urban/rural divides</t>
  </si>
  <si>
    <t>Months 4-9</t>
  </si>
  <si>
    <t>Independent field research teams</t>
  </si>
  <si>
    <t>3. Blinded assessment</t>
  </si>
  <si>
    <t>Unaffiliated researchers rate the same 20 dimensions without access to author-team ratings</t>
  </si>
  <si>
    <t>Months 6-9</t>
  </si>
  <si>
    <t>Independent African linguists/NLP researchers</t>
  </si>
  <si>
    <t>4. Comparison</t>
  </si>
  <si>
    <t>Statistical comparison of community ratings, independent ratings, and author-team ratings</t>
  </si>
  <si>
    <t>Months 10-12</t>
  </si>
  <si>
    <t>Independent statistician</t>
  </si>
  <si>
    <t>5. Community feedback</t>
  </si>
  <si>
    <t>Community review of findings and co-development of revised CPST protocol</t>
  </si>
  <si>
    <t>Community advisory boards</t>
  </si>
  <si>
    <t>Ratings derived through structured qualitative assessment following the CPST protocol</t>
  </si>
  <si>
    <t>Inter-rater reliability: Cohen's kappa = 0.866 (almost perfect); Weighted kappa = 0.944; Fleiss' kappa = 0.912</t>
  </si>
  <si>
    <t>Numeric Avg</t>
  </si>
  <si>
    <t>Label Avg</t>
  </si>
  <si>
    <t>Strong (6)</t>
  </si>
  <si>
    <t>Mixed (4)</t>
  </si>
  <si>
    <t>Moderate (5)</t>
  </si>
  <si>
    <t>Moderate-Strong</t>
  </si>
  <si>
    <t>Weak (2)</t>
  </si>
  <si>
    <t>Emerging (3)</t>
  </si>
  <si>
    <t>Weak-Moderate</t>
  </si>
  <si>
    <t>Weak-Strong</t>
  </si>
  <si>
    <t>Not addressed-Strong</t>
  </si>
  <si>
    <t>COUNTRY AVERAGE</t>
  </si>
  <si>
    <t>NUMERIC VALUES</t>
  </si>
  <si>
    <t>KEY EVIDENCE SUMMARY</t>
  </si>
  <si>
    <t>Key Evidence</t>
  </si>
  <si>
    <t>GhanaNLP parallel corpus (41,500 sentences, 5 languages). Khaya AI translation engine. Nsanku benchmark (43 languages).</t>
  </si>
  <si>
    <t>Open GitHub repository; published benchmark</t>
  </si>
  <si>
    <t>No systematic textbooks or public signage. Community radio only.</t>
  </si>
  <si>
    <t>No external sources found</t>
  </si>
  <si>
    <t>GhanaNLP volunteer network only. No government policy.</t>
  </si>
  <si>
    <t>No prestige or participatory initiatives identified. Extractive research risk.</t>
  </si>
  <si>
    <t>NKENNE platform (13 languages, 400K+ learners). N-ATLAS (Llama-3-8B for Yoruba/Hausa/Igbo).</t>
  </si>
  <si>
    <t>Platform analytics; model publication</t>
  </si>
  <si>
    <t>NITDA national rollout planned. Textbooks scarce.</t>
  </si>
  <si>
    <t>Government partnership documented</t>
  </si>
  <si>
    <t>NITDA partnership + large user base. Masakhane hub, NCAIR.</t>
  </si>
  <si>
    <t>Government documents; platform data</t>
  </si>
  <si>
    <t>Designed for African languages from ground up. Community trust high.</t>
  </si>
  <si>
    <t>EthioLLM (6 languages). Amharic TTS/ASR. Fragmented beyond Amharic.</t>
  </si>
  <si>
    <t>Published papers</t>
  </si>
  <si>
    <t>Ge'ez script standardised; national broadcasting. Mother-tongue primary education.</t>
  </si>
  <si>
    <t>Unicode standard; federal education policy</t>
  </si>
  <si>
    <t>Mother-tongue education policy. Addis Ababa University. Limited cross-ethnic platforms.</t>
  </si>
  <si>
    <t>Government policy documents</t>
  </si>
  <si>
    <t>High linguistic pride among youth. Participatory design moderate.</t>
  </si>
  <si>
    <t>Survey data (limited coverage)</t>
  </si>
  <si>
    <t>Swivuriso (3,000 hrs). InkubaLM (0.4B params, 5 languages). AfroBench leader.</t>
  </si>
  <si>
    <t>Published papers; benchmark data</t>
  </si>
  <si>
    <t>No offline tools. Textbooks scarce for minor languages.</t>
  </si>
  <si>
    <t>Constitutional 11 official languages. Masakhane strong. DL Indaba.</t>
  </si>
  <si>
    <t>Constitution of RSA, 1996</t>
  </si>
  <si>
    <t>Urban/rural prestige divide. Constitutional multilingualism helps.</t>
  </si>
  <si>
    <t>Sociolinguistic studies</t>
  </si>
  <si>
    <t>AfriVoices-KE (3,000 hrs, 5 languages). Swahili NLP strong. Indigenous langs weak.</t>
  </si>
  <si>
    <t>Published dataset paper</t>
  </si>
  <si>
    <t>No systematic offline program. Textbooks scarce. Radio predominantly Swahili.</t>
  </si>
  <si>
    <t>Swahili strong policy support. Indigenous langs marginal. Limited networks.</t>
  </si>
  <si>
    <t>National language policy</t>
  </si>
  <si>
    <t>Urban youth shift to English. Indigenous languages low prestige. Rural maintains oral traditions.</t>
  </si>
  <si>
    <t>Sociolinguistic survey data (limited)</t>
  </si>
  <si>
    <t>KEY DIAGNOSTIC FINDINGS</t>
  </si>
  <si>
    <t>Diagnostic Finding</t>
  </si>
  <si>
    <t>Strong Cyber foundation (GhanaNLP corpus) but requires Physical (textbooks, signage) and Social (community engagement beyond researchers) strengthening. Thinking dimension not addressed.</t>
  </si>
  <si>
    <t>Most balanced profile. Requires mechanisms for minority language inclusion beyond the initial 13 languages covered by NKENNE. Synthetic data generation may help scale.</t>
  </si>
  <si>
    <t>Strong Thinking dimension (linguistic pride) and good Physical infrastructure (Unicode, broadcasting). Cyber remains fragmented and under-resourced beyond Amharic; needs broader practical deployment for Oromo, Somali, Afar.</t>
  </si>
  <si>
    <t>Strong Cyber resources and Social policy support (11 official languages). Physical gaps persist for minor languages (Venda, Tsonga). Urban-rural Thinking disparities.</t>
  </si>
  <si>
    <t>Moderate Cyber (AfriVoices-KE) but weak Physical and Thinking for urban youth. Swahili dominance leaves 40+ indigenous languages underserved. Model needed for prestige elevation.</t>
  </si>
  <si>
    <t>African Language Coverage Across Major Benchmark Datasets</t>
  </si>
  <si>
    <t>Quantitative evidence of dataset imbalance across major African NLP corpora</t>
  </si>
  <si>
    <t>Language</t>
  </si>
  <si>
    <t>ISO Code</t>
  </si>
  <si>
    <t>AfriSenti (tweets)</t>
  </si>
  <si>
    <t>MasakhaNER 2.0 (tokens)</t>
  </si>
  <si>
    <t>AfroLM (23 langs)</t>
  </si>
  <si>
    <t>NLLB-200</t>
  </si>
  <si>
    <t>Common Voice v18</t>
  </si>
  <si>
    <t>Status</t>
  </si>
  <si>
    <t>Hausa</t>
  </si>
  <si>
    <t>hau</t>
  </si>
  <si>
    <t>22,155 (20.0%)</t>
  </si>
  <si>
    <t>221,086 (5.95%)</t>
  </si>
  <si>
    <t>Yes</t>
  </si>
  <si>
    <t>Repeated</t>
  </si>
  <si>
    <t>Largest AfriSenti corpus; strong across all benchmarks</t>
  </si>
  <si>
    <t>Yoruba</t>
  </si>
  <si>
    <t>yor</t>
  </si>
  <si>
    <t>15,130 (13.7%)</t>
  </si>
  <si>
    <t>244,144 (6.57%)</t>
  </si>
  <si>
    <t>Strong NER representation; consistent coverage</t>
  </si>
  <si>
    <t>Igbo</t>
  </si>
  <si>
    <t>ibo</t>
  </si>
  <si>
    <t>15,718 (14.2%)</t>
  </si>
  <si>
    <t>344,095 (9.27%)</t>
  </si>
  <si>
    <t>Largest MasakhaNER share; well-represented</t>
  </si>
  <si>
    <t>Swahili</t>
  </si>
  <si>
    <t>swa</t>
  </si>
  <si>
    <t>4,821 (4.4%)</t>
  </si>
  <si>
    <t>251,678 (6.78%)</t>
  </si>
  <si>
    <t>Major lingua franca; broad but not deep coverage</t>
  </si>
  <si>
    <t>Amharic</t>
  </si>
  <si>
    <t>amh</t>
  </si>
  <si>
    <t>9,483 (8.6%)</t>
  </si>
  <si>
    <t>---</t>
  </si>
  <si>
    <t>Ge'ez script; major Ethiopian language</t>
  </si>
  <si>
    <t>Somali</t>
  </si>
  <si>
    <t>som</t>
  </si>
  <si>
    <t>Afro-Asiatic; NLLB+AfroLM but no AfriSenti/MasakhaNER</t>
  </si>
  <si>
    <t>Zulu</t>
  </si>
  <si>
    <t>zu</t>
  </si>
  <si>
    <t>Nguni Bantu; South African major language</t>
  </si>
  <si>
    <t>Xhosa</t>
  </si>
  <si>
    <t>xh</t>
  </si>
  <si>
    <t>Yes (new v18)</t>
  </si>
  <si>
    <t>Nguni Bantu; click consonants; Common Voice v18 addition</t>
  </si>
  <si>
    <t>Fulfulde/Pulaar</t>
  </si>
  <si>
    <t>fuc/fuf</t>
  </si>
  <si>
    <t>Missing</t>
  </si>
  <si>
    <t>Widespread across Sahel; no major benchmark coverage</t>
  </si>
  <si>
    <t>Bambara</t>
  </si>
  <si>
    <t>bam</t>
  </si>
  <si>
    <t>Sparse</t>
  </si>
  <si>
    <t>Major Mande language; AfroLM only</t>
  </si>
  <si>
    <t>Lingala</t>
  </si>
  <si>
    <t>lin</t>
  </si>
  <si>
    <t>Bantu lingua franca; AfroLM only</t>
  </si>
  <si>
    <t>Ewe</t>
  </si>
  <si>
    <t>ewe</t>
  </si>
  <si>
    <t>Ghana/Togo Kwa language; AfroLM only</t>
  </si>
  <si>
    <t>Fon</t>
  </si>
  <si>
    <t>fon</t>
  </si>
  <si>
    <t>Benin/Nigeria Kwa language; AfroLM only</t>
  </si>
  <si>
    <t>Luganda</t>
  </si>
  <si>
    <t>lug</t>
  </si>
  <si>
    <t>Yes (text)</t>
  </si>
  <si>
    <t>Uganda Bantu; AfroLM + text CV only</t>
  </si>
  <si>
    <t>Tigrinya</t>
  </si>
  <si>
    <t>tir</t>
  </si>
  <si>
    <t>2,400 (2.2%)</t>
  </si>
  <si>
    <t>Horn of Africa; small AfriSenti only</t>
  </si>
  <si>
    <t>Wolof</t>
  </si>
  <si>
    <t>wol</t>
  </si>
  <si>
    <t>Senegal lingua franca; no speech data</t>
  </si>
  <si>
    <t>COVERAGE SUMMARY STATISTICS</t>
  </si>
  <si>
    <t>Metric</t>
  </si>
  <si>
    <t>Languages with Repeated coverage (4+ corpora)</t>
  </si>
  <si>
    <t>8 of ~2,000 (0.4%)</t>
  </si>
  <si>
    <t>Languages with Sparse coverage (1-2 corpora)</t>
  </si>
  <si>
    <t>9 of ~2,000 (0.45%)</t>
  </si>
  <si>
    <t>Languages with Missing coverage</t>
  </si>
  <si>
    <t>~1,983 of ~2,000 (99.15%)</t>
  </si>
  <si>
    <t>AfriSenti language coverage</t>
  </si>
  <si>
    <t>14 languages</t>
  </si>
  <si>
    <t>MasakhaNER 2.0 coverage</t>
  </si>
  <si>
    <t>20 languages</t>
  </si>
  <si>
    <t>NLLB-200 African languages</t>
  </si>
  <si>
    <t>55 languages (~2.75%)</t>
  </si>
  <si>
    <t>Sahara benchmark coverage</t>
  </si>
  <si>
    <t>517 languages (~25%)</t>
  </si>
  <si>
    <t>AfroLM pretraining coverage</t>
  </si>
  <si>
    <t>23 languages</t>
  </si>
  <si>
    <t>SOURCES</t>
  </si>
  <si>
    <t>Dataset/Resource</t>
  </si>
  <si>
    <t>Type</t>
  </si>
  <si>
    <t>Source</t>
  </si>
  <si>
    <t>MasakhaNER 2.0</t>
  </si>
  <si>
    <t>NER (News)</t>
  </si>
  <si>
    <t>UCL Discovery / Adelani et al.</t>
  </si>
  <si>
    <t>AfriSenti (Twitter)</t>
  </si>
  <si>
    <t>Sentiment</t>
  </si>
  <si>
    <t>HuggingFace / HausaNLP</t>
  </si>
  <si>
    <t>AfroLM</t>
  </si>
  <si>
    <t>Language Model</t>
  </si>
  <si>
    <t>HuggingFace / bonadossou</t>
  </si>
  <si>
    <t>FLoRes-200</t>
  </si>
  <si>
    <t>MT Benchmark</t>
  </si>
  <si>
    <t>Meta / HuggingFace</t>
  </si>
  <si>
    <t>MT Model</t>
  </si>
  <si>
    <t>Meta AI</t>
  </si>
  <si>
    <t>Common Voice 18.0</t>
  </si>
  <si>
    <t>Speech</t>
  </si>
  <si>
    <t>Mozilla Foundation</t>
  </si>
  <si>
    <t>NKENNE Platform</t>
  </si>
  <si>
    <t>Language Learning</t>
  </si>
  <si>
    <t>NKENNE / NITDA</t>
  </si>
  <si>
    <t>GhanaNLP</t>
  </si>
  <si>
    <t>NLP Community</t>
  </si>
  <si>
    <t>GhanaNLP.org</t>
  </si>
  <si>
    <t>N-ATLAS</t>
  </si>
  <si>
    <t>LLM (Nigeria)</t>
  </si>
  <si>
    <t>NCAIR</t>
  </si>
  <si>
    <t>InkubaLM</t>
  </si>
  <si>
    <t>Small LM</t>
  </si>
  <si>
    <t>Tonja et al., arXiv</t>
  </si>
  <si>
    <t>AfroBench</t>
  </si>
  <si>
    <t>Benchmark</t>
  </si>
  <si>
    <t>Masakhane / Mila / Lelapa AI</t>
  </si>
  <si>
    <t>Sahara Benchmark</t>
  </si>
  <si>
    <t>Sahara team</t>
  </si>
  <si>
    <t>IrokoBench</t>
  </si>
  <si>
    <t>Adelani et al., arXiv</t>
  </si>
  <si>
    <t>EthioLLM / EthioMT</t>
  </si>
  <si>
    <t>LLM / MT</t>
  </si>
  <si>
    <t>AfriVoices-KE</t>
  </si>
  <si>
    <t>Wanzare et al., arXiv</t>
  </si>
  <si>
    <t>Swivuriso</t>
  </si>
  <si>
    <t>African Next Voices</t>
  </si>
  <si>
    <t>Evolution of the African NLP Ecosystem (2020-2026)</t>
  </si>
  <si>
    <t>Phases, years, and milestones in African natural language processing development</t>
  </si>
  <si>
    <t>Year</t>
  </si>
  <si>
    <t>Key Events and Outputs</t>
  </si>
  <si>
    <t>References</t>
  </si>
  <si>
    <t>Foundational phase (2020-2021)</t>
  </si>
  <si>
    <t>Masakhane community launch</t>
  </si>
  <si>
    <t>[17]</t>
  </si>
  <si>
    <t>MasakhaNER dataset (10 African languages)</t>
  </si>
  <si>
    <t>[37]</t>
  </si>
  <si>
    <t>AfriBERTa: pre-trained LM for 11 African languages</t>
  </si>
  <si>
    <t>[38]</t>
  </si>
  <si>
    <t>MMTAfrica: many-to-many MT for African languages</t>
  </si>
  <si>
    <t>[42]</t>
  </si>
  <si>
    <t>Expansion phase (2022-2023)</t>
  </si>
  <si>
    <t>AfroXLMR: multilingual adaptive fine-tuning</t>
  </si>
  <si>
    <t>[39]</t>
  </si>
  <si>
    <t>NLLB-200 (55 African languages supported)</t>
  </si>
  <si>
    <t>[9]</t>
  </si>
  <si>
    <t>AfroLM: 23-language pre-trained model</t>
  </si>
  <si>
    <t>[41]</t>
  </si>
  <si>
    <t>MasakhaNEWS topic classification</t>
  </si>
  <si>
    <t>[89]</t>
  </si>
  <si>
    <t>AfriSenti sentiment benchmark (14 languages)</t>
  </si>
  <si>
    <t>[15]</t>
  </si>
  <si>
    <t>Aya-101 instruction-tuned model</t>
  </si>
  <si>
    <t>[90]</t>
  </si>
  <si>
    <t>SERENGETI: massively multilingual model (517 langs)</t>
  </si>
  <si>
    <t>[49]</t>
  </si>
  <si>
    <t>AfroBench: 64 languages, 15 tasks</t>
  </si>
  <si>
    <t>[18]</t>
  </si>
  <si>
    <t>Maturity phase (2024-2026)</t>
  </si>
  <si>
    <t>Mozilla Common Voice 18 dataset release</t>
  </si>
  <si>
    <t>[40]</t>
  </si>
  <si>
    <t>Swivuriso speech corpus (South Africa, 3,000 hrs)</t>
  </si>
  <si>
    <t>[44]</t>
  </si>
  <si>
    <t>Belebele reading comprehension benchmark</t>
  </si>
  <si>
    <t>[48]</t>
  </si>
  <si>
    <t>Toucan: 150+ African language pairs</t>
  </si>
  <si>
    <t>[45]</t>
  </si>
  <si>
    <t>Cheetah: NLG for 517 African languages</t>
  </si>
  <si>
    <t>[46]</t>
  </si>
  <si>
    <t>InkubaLM (0.4B parameter small LM for 5 SA languages)</t>
  </si>
  <si>
    <t>[50]</t>
  </si>
  <si>
    <t>EthioLLM (6 Ethiopian languages)</t>
  </si>
  <si>
    <t>[53]</t>
  </si>
  <si>
    <t>EthioMT (15-language parallel corpus)</t>
  </si>
  <si>
    <t>[54]</t>
  </si>
  <si>
    <t>AfroLlama-V1: decoder-only LLM</t>
  </si>
  <si>
    <t>[91]</t>
  </si>
  <si>
    <t>Lugha-Llama: LLM adaptation for African languages</t>
  </si>
  <si>
    <t>[51]</t>
  </si>
  <si>
    <t>IrokoBench (16 languages: NLI, math, MMLU)</t>
  </si>
  <si>
    <t>[55]</t>
  </si>
  <si>
    <t>AFRIDOC-MT (document-level MT)</t>
  </si>
  <si>
    <t>[56]</t>
  </si>
  <si>
    <t>Sahara Benchmark (517 languages)</t>
  </si>
  <si>
    <t>[19]</t>
  </si>
  <si>
    <t>AfriSpeech-MultiBench (accented ASR benchmark)</t>
  </si>
  <si>
    <t>[58]</t>
  </si>
  <si>
    <t>MzansiLM (11 official South African languages)</t>
  </si>
  <si>
    <t>[92]</t>
  </si>
  <si>
    <t>Comparison of CPST with Related Frameworks</t>
  </si>
  <si>
    <t>Language preservation and revitalisation frameworks: core focus, limitations, and CPST's unique contribution</t>
  </si>
  <si>
    <t>Framework</t>
  </si>
  <si>
    <t>Core Focus</t>
  </si>
  <si>
    <t>Limitations for African Minor Languages</t>
  </si>
  <si>
    <t>CPST's Unique Contribution</t>
  </si>
  <si>
    <t>Sociotechnical Systems Theory</t>
  </si>
  <si>
    <t>Co-constitution of technology and society [34,35]</t>
  </si>
  <si>
    <t>Lacks language-specific constructs; no guidance for preservation or revitalisation</t>
  </si>
  <si>
    <t>Adds language-centred dimensions (Cyber, Physical, Social, Thinking) with explicit preservation logic</t>
  </si>
  <si>
    <t>Language Ecology (Haugen)</t>
  </si>
  <si>
    <t>Study of interactions between language and its environment [94]</t>
  </si>
  <si>
    <t>Under-specifies digital infrastructure and AI governance; primarily descriptive</t>
  </si>
  <si>
    <t>Integrates cyber-digital and AI capacities as explicit environmental dimensions; prescriptive</t>
  </si>
  <si>
    <t>Language Ecology (Muhlhausler/Mufwene)</t>
  </si>
  <si>
    <t>Language as adaptive system with attention to speaker agency and colonial impacts [95,96]</t>
  </si>
  <si>
    <t>Weak integration with digital technology; limited guidance on AI tools or offline infrastructure</t>
  </si>
  <si>
    <t>Grounds decolonial critiques within Thinking and Social dimensions while providing technical pathways</t>
  </si>
  <si>
    <t>Decolonial Computing / Participatory AI</t>
  </si>
  <si>
    <t>Community agency, data sovereignty, epistemic justice against colonial AI logics [31,33]</t>
  </si>
  <si>
    <t>Weak integration with physical infrastructure and cognitive dimensions; limited scalability guidance</t>
  </si>
  <si>
    <t>Embeds participatory principles within Thinking and Social dimensions while providing Physical and Cyber pathways for scalable intervention</t>
  </si>
  <si>
    <t>Digital Language Vitality Scale (DLVS)</t>
  </si>
  <si>
    <t>Assessment of digital presence, capacity, performance, prestige across seven levels [62,63]</t>
  </si>
  <si>
    <t>Diagnostic only; does not prescribe interventions or system design</t>
  </si>
  <si>
    <t>Offers both diagnostic mapping (Capacity-&gt;Cyber, Presence-&gt;Physical, Performance-&gt;Social, Prestige-&gt;Thinking) and prescriptive five-pillar strategy</t>
  </si>
  <si>
    <t>UNESCO Language Vitality Factors</t>
  </si>
  <si>
    <t>Nine-factor assessment (intergenerational transmission, speaker numbers, domain trends, attitudes, documentation, etc.) [97]</t>
  </si>
  <si>
    <t>No digital or AI dimension; minimal guidance for technology development or offline infrastructure</t>
  </si>
  <si>
    <t>Adds Cyber and Physical dimensions while reframing attitudes within Thinking; bridges sociolinguistic assessment to technical implementation</t>
  </si>
  <si>
    <t>Cyber-Physical-Social Systems (CPSS)</t>
  </si>
  <si>
    <t>System-level design of integrated cyber-physical-social systems for urban systems, transportation, manufacturing [88]</t>
  </si>
  <si>
    <t>Originated for urban and industrial systems; not adapted for language or cultural preservation</t>
  </si>
  <si>
    <t>Specialises CPSS for language preservation domain; adds Thinking dimension; provides African-context operationalisation</t>
  </si>
  <si>
    <t>Note: CPST [34,35,71,85] integrates insights from each framework while addressing their specific gaps. This comparison highlights complementary relationships, not competitive superiority.</t>
  </si>
  <si>
    <t>Mapping of AI/AGI Capabilities to CPST Dimensions Across Time Horizons</t>
  </si>
  <si>
    <t>Capabilities mapped across three time horizons: current AI, near-future AI (5 years), and AGI (20+ years)</t>
  </si>
  <si>
    <t>CPST Dimension</t>
  </si>
  <si>
    <t>Current AI (today)</t>
  </si>
  <si>
    <t>Near-future AI (5 yrs)</t>
  </si>
  <si>
    <t>AGI (speculative, 20+ yrs)</t>
  </si>
  <si>
    <t>Zero-shot MT, self-supervised ASR/TTS, cross-lingual transfer, model compression</t>
  </si>
  <si>
    <t>Improved few-shot learning, larger multilingual models, better code-switch handling</t>
  </si>
  <si>
    <t>Fully autonomous language documentation; zero-data acquisition of new languages</t>
  </si>
  <si>
    <t>Offline deployment via compressed models, AI-generated radio scripts</t>
  </si>
  <si>
    <t>Real-time on-device adaptation, low-energy ASR for edge devices</t>
  </si>
  <si>
    <t>Autonomous physical infrastructure (self-repairing offline archives, AGI-managed radio networks)</t>
  </si>
  <si>
    <t>LLM-transcribed oral narratives, AI-generated educational materials, policy simulation</t>
  </si>
  <si>
    <t>AI-facilitated cross-ethnic dialogue, personalised language learning</t>
  </si>
  <si>
    <t>AGI as co-facilitator of community decision-making; autonomous curriculum generation</t>
  </si>
  <si>
    <t>Culturally relevant content generation, participatory design interfaces</t>
  </si>
  <si>
    <t>Improved cultural grounding, trust-aware dialogue systems</t>
  </si>
  <si>
    <t>AGI that understands and respects local epistemic frameworks; autonomous prestige campaign design</t>
  </si>
  <si>
    <t>Note: "Current AI" refers to operational systems. "Near-future AI" is extrapolated from current research trends. "AGI" is speculative and serves primarily to justify long-term framework resilience.</t>
  </si>
  <si>
    <t>Operationalisation of the Thinking Dimension: Measurable Indicators and Assessment Methods</t>
  </si>
  <si>
    <t>Sub-dimensions, measurable indicators, and assessment methods for the Thinking CPST dimension</t>
  </si>
  <si>
    <t>Sub-dimension</t>
  </si>
  <si>
    <t>Measurable Indicators</t>
  </si>
  <si>
    <t>Assessment Methods</t>
  </si>
  <si>
    <t>Linguistic Identity</t>
  </si>
  <si>
    <t>Self-reported language pride; intergenerational transmission rates; social media discourse sentiment</t>
  </si>
  <si>
    <t>Standardised surveys (e.g., 5-point Likert scales); demographic census data; corpus-based sentiment analysis</t>
  </si>
  <si>
    <t>Participatory Design</t>
  </si>
  <si>
    <t>Community representation in governance bodies; co-design workshop frequency; data sovereignty agreement coverage</t>
  </si>
  <si>
    <t>Document analysis of governance structures; event records; review of consent protocols</t>
  </si>
  <si>
    <t>Technology Trust</t>
  </si>
  <si>
    <t>User adoption rates; app retention metrics; reported confidence in AI tools</t>
  </si>
  <si>
    <t>Usage analytics; follow-up interviews; trust scales adapted from technology acceptance models</t>
  </si>
  <si>
    <t>Prestige &amp; Status</t>
  </si>
  <si>
    <t>Language use in formal domains; economic returns to language skills; celebrity/media endorsement frequency</t>
  </si>
  <si>
    <t>Labour market surveys; media content analysis; policy document review</t>
  </si>
  <si>
    <t>Epistemic Justice</t>
  </si>
  <si>
    <t>Community authorship of research outputs; citation of indigenous experts; benefit-sharing agreement prevalence</t>
  </si>
  <si>
    <t>Bibliometric analysis; governance document review; community interviews</t>
  </si>
  <si>
    <t>CPST Assessment Template</t>
  </si>
  <si>
    <t>Blank field assessment form for new CPST evaluations</t>
  </si>
  <si>
    <t>Instructions: Enter ratings (1-6) in column D. Weighted scores auto-calculate in column E.</t>
  </si>
  <si>
    <t>ASSESSMENT INFORMATION</t>
  </si>
  <si>
    <t>Country/Region:</t>
  </si>
  <si>
    <t>Assessor 1:</t>
  </si>
  <si>
    <t>Assessor 2:</t>
  </si>
  <si>
    <t>Adjudicator (if needed):</t>
  </si>
  <si>
    <t>Date:</t>
  </si>
  <si>
    <t>DIMENSION: CYBER (Digital Infrastructure)</t>
  </si>
  <si>
    <t>Evidence Sources</t>
  </si>
  <si>
    <t>Rating (1-6)</t>
  </si>
  <si>
    <t>Weighted Score</t>
  </si>
  <si>
    <t>SUBTOTAL</t>
  </si>
  <si>
    <t>DIMENSION RATING</t>
  </si>
  <si>
    <t>DIMENSION: PHYSICAL (Tangible Infrastructure)</t>
  </si>
  <si>
    <t>DIMENSION: SOCIAL (Institutions &amp; Community)</t>
  </si>
  <si>
    <t>DIMENSION: THINKING (Cognition &amp; Identity)</t>
  </si>
  <si>
    <t>CPST COMPOSITE SCORE</t>
  </si>
  <si>
    <t>OVERALL INTERPRETATION</t>
  </si>
  <si>
    <t>SIGN-OFF</t>
  </si>
  <si>
    <t>Name</t>
  </si>
  <si>
    <t>Signature</t>
  </si>
  <si>
    <t>Date</t>
  </si>
  <si>
    <t>Adjudicator:</t>
  </si>
  <si>
    <t xml:space="preserve">Comparative CPST Profiles of Case Studies </t>
  </si>
  <si>
    <t>Supplementary Material</t>
  </si>
  <si>
    <t xml:space="preserve">CPST Assessment Rating Rubric </t>
  </si>
  <si>
    <t xml:space="preserve">CPST Qualitative Assessment Protocol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</si>
</sst>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4" x14ac:knownFonts="1">
    <font>
      <sz val="11"/>
      <color rgb="FF000000"/>
      <name val="Calibri"/>
      <family val="2"/>
      <charset val="1"/>
    </font>
    <font>
      <b/>
      <sz val="16"/>
      <color rgb="FF333333"/>
      <name val="Calibri"/>
      <charset val="1"/>
    </font>
    <font>
      <b/>
      <sz val="11"/>
      <color rgb="FF333333"/>
      <name val="Calibri"/>
      <charset val="1"/>
    </font>
    <font>
      <sz val="11"/>
      <color rgb="FF666666"/>
      <name val="Calibri"/>
      <charset val="1"/>
    </font>
    <font>
      <b/>
      <sz val="10"/>
      <color rgb="FF000000"/>
      <name val="Calibri"/>
      <charset val="1"/>
    </font>
    <font>
      <i/>
      <sz val="10"/>
      <color rgb="FF666666"/>
      <name val="Calibri"/>
      <charset val="1"/>
    </font>
    <font>
      <sz val="10"/>
      <color rgb="FF000000"/>
      <name val="Calibri"/>
      <charset val="1"/>
    </font>
    <font>
      <b/>
      <sz val="14"/>
      <color rgb="FF333333"/>
      <name val="Calibri"/>
      <charset val="1"/>
    </font>
    <font>
      <b/>
      <sz val="10"/>
      <color rgb="FFFFFFFF"/>
      <name val="Calibri"/>
      <charset val="1"/>
    </font>
    <font>
      <b/>
      <sz val="9"/>
      <color rgb="FF333333"/>
      <name val="Calibri"/>
      <charset val="1"/>
    </font>
    <font>
      <b/>
      <sz val="10"/>
      <color rgb="FF0066CC"/>
      <name val="Calibri"/>
      <charset val="1"/>
    </font>
    <font>
      <b/>
      <sz val="9"/>
      <color rgb="FFFFFFFF"/>
      <name val="Calibri"/>
      <charset val="1"/>
    </font>
    <font>
      <sz val="9"/>
      <color rgb="FF666666"/>
      <name val="Calibri"/>
      <charset val="1"/>
    </font>
    <font>
      <b/>
      <sz val="9"/>
      <color rgb="FF000000"/>
      <name val="Calibri"/>
      <charset val="1"/>
    </font>
  </fonts>
  <fills count="10">
    <fill>
      <patternFill patternType="none"/>
    </fill>
    <fill>
      <patternFill patternType="gray125"/>
    </fill>
    <fill>
      <patternFill patternType="solid">
        <fgColor rgb="FF333333"/>
        <bgColor rgb="FF333300"/>
      </patternFill>
    </fill>
    <fill>
      <patternFill patternType="solid">
        <fgColor rgb="FFF9F9F9"/>
        <bgColor rgb="FFF5F5F5"/>
      </patternFill>
    </fill>
    <fill>
      <patternFill patternType="solid">
        <fgColor rgb="FF0066CC"/>
        <bgColor rgb="FF008080"/>
      </patternFill>
    </fill>
    <fill>
      <patternFill patternType="solid">
        <fgColor rgb="FFF5F5F5"/>
        <bgColor rgb="FFF9F9F9"/>
      </patternFill>
    </fill>
    <fill>
      <patternFill patternType="solid">
        <fgColor rgb="FFE6F0FA"/>
        <bgColor rgb="FFE8EEF7"/>
      </patternFill>
    </fill>
    <fill>
      <patternFill patternType="solid">
        <fgColor rgb="FFE8EEF7"/>
        <bgColor rgb="FFE6F0FA"/>
      </patternFill>
    </fill>
    <fill>
      <patternFill patternType="solid">
        <fgColor rgb="FFD6E4F0"/>
        <bgColor rgb="FFC5DAE8"/>
      </patternFill>
    </fill>
    <fill>
      <patternFill patternType="solid">
        <fgColor rgb="FFC5DAE8"/>
        <bgColor rgb="FFD6E4F0"/>
      </patternFill>
    </fill>
  </fills>
  <borders count="5">
    <border>
      <left/>
      <right/>
      <top/>
      <bottom/>
      <diagonal/>
    </border>
    <border>
      <left/>
      <right/>
      <top/>
      <bottom style="thin">
        <color rgb="FFD0D0D0"/>
      </bottom>
      <diagonal/>
    </border>
    <border>
      <left/>
      <right/>
      <top/>
      <bottom style="medium">
        <color rgb="FF333333"/>
      </bottom>
      <diagonal/>
    </border>
    <border>
      <left/>
      <right/>
      <top style="thin">
        <color rgb="FFD0D0D0"/>
      </top>
      <bottom/>
      <diagonal/>
    </border>
    <border>
      <left/>
      <right/>
      <top style="medium">
        <color rgb="FF333333"/>
      </top>
      <bottom/>
      <diagonal/>
    </border>
  </borders>
  <cellStyleXfs count="1">
    <xf numFmtId="0" fontId="0" fillId="0" borderId="0"/>
  </cellStyleXfs>
  <cellXfs count="74">
    <xf numFmtId="0" fontId="0" fillId="0" borderId="0" xfId="0"/>
    <xf numFmtId="164" fontId="6" fillId="0" borderId="0" xfId="0" applyNumberFormat="1" applyFont="1" applyBorder="1"/>
    <xf numFmtId="0" fontId="6" fillId="3" borderId="0" xfId="0" applyFont="1" applyFill="1" applyBorder="1" applyAlignment="1">
      <alignment wrapText="1"/>
    </xf>
    <xf numFmtId="0" fontId="11" fillId="2" borderId="0" xfId="0" applyFont="1" applyFill="1" applyBorder="1"/>
    <xf numFmtId="0" fontId="8" fillId="4" borderId="0" xfId="0" applyFont="1" applyFill="1" applyBorder="1"/>
    <xf numFmtId="0" fontId="2" fillId="0" borderId="2" xfId="0" applyFont="1" applyBorder="1"/>
    <xf numFmtId="0" fontId="7" fillId="0" borderId="0" xfId="0" applyFont="1" applyBorder="1" applyAlignment="1">
      <alignment vertical="center"/>
    </xf>
    <xf numFmtId="0" fontId="6" fillId="0" borderId="0" xfId="0" applyFont="1" applyBorder="1" applyAlignment="1">
      <alignment wrapText="1"/>
    </xf>
    <xf numFmtId="0" fontId="6" fillId="0" borderId="0" xfId="0" applyFont="1" applyBorder="1"/>
    <xf numFmtId="0" fontId="3" fillId="0" borderId="0" xfId="0" applyFont="1" applyBorder="1"/>
    <xf numFmtId="0" fontId="5" fillId="0" borderId="0" xfId="0" applyFont="1" applyBorder="1"/>
    <xf numFmtId="0" fontId="4" fillId="0" borderId="0" xfId="0" applyFont="1" applyBorder="1"/>
    <xf numFmtId="0" fontId="3" fillId="0" borderId="0" xfId="0" applyFont="1" applyBorder="1" applyAlignment="1">
      <alignment wrapText="1"/>
    </xf>
    <xf numFmtId="0" fontId="2" fillId="0" borderId="0" xfId="0" applyFont="1" applyBorder="1"/>
    <xf numFmtId="0" fontId="1" fillId="0" borderId="0" xfId="0" applyFont="1" applyBorder="1" applyAlignment="1">
      <alignment vertical="center"/>
    </xf>
    <xf numFmtId="0" fontId="2" fillId="0" borderId="1" xfId="0" applyFont="1" applyBorder="1"/>
    <xf numFmtId="0" fontId="6" fillId="0" borderId="0" xfId="0" applyFont="1"/>
    <xf numFmtId="0" fontId="8" fillId="2" borderId="0" xfId="0" applyFont="1" applyFill="1" applyAlignment="1">
      <alignment vertical="center"/>
    </xf>
    <xf numFmtId="0" fontId="6" fillId="3" borderId="0" xfId="0" applyFont="1" applyFill="1"/>
    <xf numFmtId="0" fontId="6" fillId="3" borderId="0" xfId="0" applyFont="1" applyFill="1" applyAlignment="1">
      <alignment wrapText="1"/>
    </xf>
    <xf numFmtId="0" fontId="6" fillId="0" borderId="0" xfId="0" applyFont="1" applyAlignment="1">
      <alignment wrapText="1"/>
    </xf>
    <xf numFmtId="0" fontId="9" fillId="5" borderId="1" xfId="0" applyFont="1" applyFill="1" applyBorder="1"/>
    <xf numFmtId="0" fontId="4" fillId="0" borderId="0" xfId="0" applyFont="1"/>
    <xf numFmtId="0" fontId="6" fillId="0" borderId="0" xfId="0" applyFont="1" applyAlignment="1">
      <alignment horizontal="center"/>
    </xf>
    <xf numFmtId="0" fontId="4" fillId="3" borderId="0" xfId="0" applyFont="1" applyFill="1"/>
    <xf numFmtId="0" fontId="6" fillId="3" borderId="0" xfId="0" applyFont="1" applyFill="1" applyAlignment="1">
      <alignment horizontal="center"/>
    </xf>
    <xf numFmtId="0" fontId="10" fillId="0" borderId="0" xfId="0" applyFont="1"/>
    <xf numFmtId="0" fontId="11" fillId="2" borderId="0" xfId="0" applyFont="1" applyFill="1"/>
    <xf numFmtId="0" fontId="11" fillId="2" borderId="0" xfId="0" applyFont="1" applyFill="1" applyAlignment="1">
      <alignment vertical="center" wrapText="1"/>
    </xf>
    <xf numFmtId="0" fontId="4" fillId="0" borderId="3" xfId="0" applyFont="1" applyBorder="1"/>
    <xf numFmtId="0" fontId="6" fillId="0" borderId="0" xfId="0" applyFont="1" applyAlignment="1">
      <alignment vertical="top" wrapText="1"/>
    </xf>
    <xf numFmtId="0" fontId="6" fillId="3" borderId="0" xfId="0" applyFont="1" applyFill="1" applyAlignment="1">
      <alignment vertical="top" wrapText="1"/>
    </xf>
    <xf numFmtId="0" fontId="11" fillId="2" borderId="0" xfId="0" applyFont="1" applyFill="1" applyAlignment="1">
      <alignment horizontal="center" vertical="center" wrapText="1"/>
    </xf>
    <xf numFmtId="0" fontId="6" fillId="3" borderId="0" xfId="0" applyFont="1" applyFill="1" applyAlignment="1">
      <alignment horizontal="center" wrapText="1"/>
    </xf>
    <xf numFmtId="165" fontId="6" fillId="3" borderId="0" xfId="0" applyNumberFormat="1" applyFont="1" applyFill="1" applyAlignment="1">
      <alignment horizontal="center"/>
    </xf>
    <xf numFmtId="0" fontId="6" fillId="0" borderId="0" xfId="0" applyFont="1" applyAlignment="1">
      <alignment horizontal="center" wrapText="1"/>
    </xf>
    <xf numFmtId="165" fontId="6" fillId="0" borderId="0" xfId="0" applyNumberFormat="1" applyFont="1" applyAlignment="1">
      <alignment horizontal="center"/>
    </xf>
    <xf numFmtId="0" fontId="4" fillId="0" borderId="4" xfId="0" applyFont="1" applyBorder="1"/>
    <xf numFmtId="2" fontId="4" fillId="0" borderId="4" xfId="0" applyNumberFormat="1" applyFont="1" applyBorder="1" applyAlignment="1">
      <alignment horizontal="center"/>
    </xf>
    <xf numFmtId="165" fontId="4" fillId="0" borderId="4" xfId="0" applyNumberFormat="1" applyFont="1" applyBorder="1" applyAlignment="1">
      <alignment horizontal="center"/>
    </xf>
    <xf numFmtId="0" fontId="0" fillId="0" borderId="4" xfId="0" applyBorder="1"/>
    <xf numFmtId="0" fontId="13" fillId="5" borderId="0" xfId="0" applyFont="1" applyFill="1"/>
    <xf numFmtId="0" fontId="6" fillId="0" borderId="0" xfId="0" applyFont="1" applyAlignment="1">
      <alignment horizontal="left" vertical="center" wrapText="1"/>
    </xf>
    <xf numFmtId="0" fontId="6" fillId="0" borderId="0" xfId="0" applyFont="1" applyAlignment="1">
      <alignment horizontal="center" vertical="center" wrapText="1"/>
    </xf>
    <xf numFmtId="0" fontId="6" fillId="3" borderId="0" xfId="0" applyFont="1" applyFill="1" applyAlignment="1">
      <alignment horizontal="left" vertical="center" wrapText="1"/>
    </xf>
    <xf numFmtId="0" fontId="6" fillId="3" borderId="0" xfId="0" applyFont="1" applyFill="1" applyAlignment="1">
      <alignment horizontal="center" vertical="center" wrapText="1"/>
    </xf>
    <xf numFmtId="0" fontId="11" fillId="2" borderId="0" xfId="0" applyFont="1" applyFill="1" applyAlignment="1">
      <alignment vertical="center"/>
    </xf>
    <xf numFmtId="0" fontId="4" fillId="7" borderId="0" xfId="0" applyFont="1" applyFill="1"/>
    <xf numFmtId="0" fontId="6" fillId="7" borderId="0" xfId="0" applyFont="1" applyFill="1" applyAlignment="1">
      <alignment horizontal="center"/>
    </xf>
    <xf numFmtId="0" fontId="6" fillId="7" borderId="0" xfId="0" applyFont="1" applyFill="1"/>
    <xf numFmtId="0" fontId="4" fillId="8" borderId="0" xfId="0" applyFont="1" applyFill="1"/>
    <xf numFmtId="0" fontId="6" fillId="8" borderId="0" xfId="0" applyFont="1" applyFill="1" applyAlignment="1">
      <alignment horizontal="center"/>
    </xf>
    <xf numFmtId="0" fontId="6" fillId="8" borderId="0" xfId="0" applyFont="1" applyFill="1"/>
    <xf numFmtId="0" fontId="4" fillId="9" borderId="0" xfId="0" applyFont="1" applyFill="1"/>
    <xf numFmtId="0" fontId="6" fillId="9" borderId="0" xfId="0" applyFont="1" applyFill="1" applyAlignment="1">
      <alignment horizontal="center"/>
    </xf>
    <xf numFmtId="0" fontId="6" fillId="9" borderId="0" xfId="0" applyFont="1" applyFill="1"/>
    <xf numFmtId="0" fontId="4" fillId="0" borderId="0" xfId="0" applyFont="1" applyAlignment="1">
      <alignment vertical="top" wrapText="1"/>
    </xf>
    <xf numFmtId="0" fontId="4" fillId="3" borderId="0" xfId="0" applyFont="1" applyFill="1" applyAlignment="1">
      <alignment vertical="top" wrapText="1"/>
    </xf>
    <xf numFmtId="0" fontId="4" fillId="0" borderId="0" xfId="0" applyFont="1" applyAlignment="1">
      <alignment vertical="top"/>
    </xf>
    <xf numFmtId="0" fontId="4" fillId="3" borderId="0" xfId="0" applyFont="1" applyFill="1" applyAlignment="1">
      <alignment vertical="top"/>
    </xf>
    <xf numFmtId="9" fontId="6" fillId="0" borderId="0" xfId="0" applyNumberFormat="1" applyFont="1"/>
    <xf numFmtId="2" fontId="6" fillId="0" borderId="0" xfId="0" applyNumberFormat="1" applyFont="1"/>
    <xf numFmtId="0" fontId="0" fillId="0" borderId="3" xfId="0" applyBorder="1"/>
    <xf numFmtId="2" fontId="4" fillId="0" borderId="3" xfId="0" applyNumberFormat="1" applyFont="1" applyBorder="1"/>
    <xf numFmtId="2" fontId="4" fillId="0" borderId="0" xfId="0" applyNumberFormat="1" applyFont="1"/>
    <xf numFmtId="2" fontId="2" fillId="6" borderId="0" xfId="0" applyNumberFormat="1" applyFont="1" applyFill="1"/>
    <xf numFmtId="0" fontId="13" fillId="0" borderId="0" xfId="0" applyFont="1"/>
    <xf numFmtId="164" fontId="10" fillId="0" borderId="0" xfId="0" applyNumberFormat="1" applyFont="1" applyBorder="1"/>
    <xf numFmtId="0" fontId="12" fillId="0" borderId="0" xfId="0" applyFont="1" applyBorder="1"/>
    <xf numFmtId="0" fontId="10" fillId="6" borderId="0" xfId="0" applyFont="1" applyFill="1" applyBorder="1"/>
    <xf numFmtId="0" fontId="12" fillId="0" borderId="0" xfId="0" applyFont="1" applyBorder="1" applyAlignment="1">
      <alignment wrapText="1"/>
    </xf>
    <xf numFmtId="0" fontId="2" fillId="0" borderId="1" xfId="0" applyFont="1" applyBorder="1"/>
    <xf numFmtId="0" fontId="7" fillId="0" borderId="0" xfId="0" applyFont="1" applyBorder="1" applyAlignment="1">
      <alignment vertical="center" wrapText="1"/>
    </xf>
    <xf numFmtId="0" fontId="2" fillId="6" borderId="0" xfId="0" applyFont="1" applyFill="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D0D0"/>
      <rgbColor rgb="FF808080"/>
      <rgbColor rgb="FF9999FF"/>
      <rgbColor rgb="FF993366"/>
      <rgbColor rgb="FFF9F9F9"/>
      <rgbColor rgb="FFE6F0FA"/>
      <rgbColor rgb="FF660066"/>
      <rgbColor rgb="FFFF8080"/>
      <rgbColor rgb="FF0066CC"/>
      <rgbColor rgb="FFC5DAE8"/>
      <rgbColor rgb="FF000080"/>
      <rgbColor rgb="FFFF00FF"/>
      <rgbColor rgb="FFFFFF00"/>
      <rgbColor rgb="FF00FFFF"/>
      <rgbColor rgb="FF800080"/>
      <rgbColor rgb="FF800000"/>
      <rgbColor rgb="FF008080"/>
      <rgbColor rgb="FF0000FF"/>
      <rgbColor rgb="FF00CCFF"/>
      <rgbColor rgb="FFE8EEF7"/>
      <rgbColor rgb="FFD6E4F0"/>
      <rgbColor rgb="FFF5F5F5"/>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36"/>
  <sheetViews>
    <sheetView showGridLines="0" zoomScaleNormal="100" workbookViewId="0">
      <selection activeCell="E30" sqref="E30"/>
    </sheetView>
  </sheetViews>
  <sheetFormatPr defaultColWidth="8.6640625" defaultRowHeight="14.4" x14ac:dyDescent="0.3"/>
  <cols>
    <col min="1" max="1" width="3" customWidth="1"/>
    <col min="2" max="2" width="35" customWidth="1"/>
    <col min="3" max="3" width="50" customWidth="1"/>
    <col min="4" max="4" width="65" customWidth="1"/>
    <col min="5" max="5" width="15" customWidth="1"/>
  </cols>
  <sheetData>
    <row r="2" spans="2:4" ht="34.5" customHeight="1" x14ac:dyDescent="0.3">
      <c r="B2" s="14" t="s">
        <v>800</v>
      </c>
      <c r="C2" s="14"/>
      <c r="D2" s="14"/>
    </row>
    <row r="4" spans="2:4" x14ac:dyDescent="0.3">
      <c r="B4" s="13" t="s">
        <v>0</v>
      </c>
      <c r="C4" s="13"/>
      <c r="D4" s="13"/>
    </row>
    <row r="5" spans="2:4" ht="30" customHeight="1" x14ac:dyDescent="0.3">
      <c r="B5" s="12" t="s">
        <v>1</v>
      </c>
      <c r="C5" s="12"/>
      <c r="D5" s="12"/>
    </row>
    <row r="7" spans="2:4" x14ac:dyDescent="0.3">
      <c r="B7" s="11" t="s">
        <v>2</v>
      </c>
      <c r="C7" s="11"/>
      <c r="D7" s="11"/>
    </row>
    <row r="8" spans="2:4" x14ac:dyDescent="0.3">
      <c r="B8" s="10" t="s">
        <v>3</v>
      </c>
      <c r="C8" s="10"/>
      <c r="D8" s="10"/>
    </row>
    <row r="9" spans="2:4" x14ac:dyDescent="0.3">
      <c r="B9" s="9" t="s">
        <v>4</v>
      </c>
      <c r="C9" s="9"/>
      <c r="D9" s="9"/>
    </row>
    <row r="11" spans="2:4" x14ac:dyDescent="0.3">
      <c r="B11" s="15" t="s">
        <v>5</v>
      </c>
      <c r="C11" s="15" t="s">
        <v>6</v>
      </c>
      <c r="D11" s="15" t="s">
        <v>7</v>
      </c>
    </row>
    <row r="12" spans="2:4" x14ac:dyDescent="0.3">
      <c r="B12" s="16" t="s">
        <v>8</v>
      </c>
      <c r="C12" s="16" t="s">
        <v>9</v>
      </c>
      <c r="D12" s="16" t="s">
        <v>10</v>
      </c>
    </row>
    <row r="13" spans="2:4" x14ac:dyDescent="0.3">
      <c r="B13" s="16" t="s">
        <v>11</v>
      </c>
      <c r="C13" s="16" t="s">
        <v>12</v>
      </c>
      <c r="D13" s="16" t="s">
        <v>13</v>
      </c>
    </row>
    <row r="14" spans="2:4" x14ac:dyDescent="0.3">
      <c r="B14" s="16" t="s">
        <v>14</v>
      </c>
      <c r="C14" s="16" t="s">
        <v>15</v>
      </c>
      <c r="D14" s="16" t="s">
        <v>16</v>
      </c>
    </row>
    <row r="15" spans="2:4" x14ac:dyDescent="0.3">
      <c r="B15" s="16" t="s">
        <v>17</v>
      </c>
      <c r="C15" s="16" t="s">
        <v>18</v>
      </c>
      <c r="D15" s="16" t="s">
        <v>19</v>
      </c>
    </row>
    <row r="16" spans="2:4" x14ac:dyDescent="0.3">
      <c r="B16" s="16" t="s">
        <v>20</v>
      </c>
      <c r="C16" s="16" t="s">
        <v>21</v>
      </c>
      <c r="D16" s="16" t="s">
        <v>22</v>
      </c>
    </row>
    <row r="17" spans="2:4" x14ac:dyDescent="0.3">
      <c r="B17" s="16" t="s">
        <v>23</v>
      </c>
      <c r="C17" s="16" t="s">
        <v>24</v>
      </c>
      <c r="D17" s="16" t="s">
        <v>25</v>
      </c>
    </row>
    <row r="18" spans="2:4" x14ac:dyDescent="0.3">
      <c r="B18" s="16" t="s">
        <v>26</v>
      </c>
      <c r="C18" s="16" t="s">
        <v>27</v>
      </c>
      <c r="D18" s="16" t="s">
        <v>28</v>
      </c>
    </row>
    <row r="19" spans="2:4" x14ac:dyDescent="0.3">
      <c r="B19" s="16" t="s">
        <v>29</v>
      </c>
      <c r="C19" s="16" t="s">
        <v>30</v>
      </c>
      <c r="D19" s="16" t="s">
        <v>31</v>
      </c>
    </row>
    <row r="20" spans="2:4" x14ac:dyDescent="0.3">
      <c r="B20" s="16" t="s">
        <v>32</v>
      </c>
      <c r="C20" s="16" t="s">
        <v>33</v>
      </c>
      <c r="D20" s="16" t="s">
        <v>34</v>
      </c>
    </row>
    <row r="21" spans="2:4" x14ac:dyDescent="0.3">
      <c r="B21" s="16" t="s">
        <v>35</v>
      </c>
      <c r="C21" s="16" t="s">
        <v>36</v>
      </c>
      <c r="D21" s="16" t="s">
        <v>37</v>
      </c>
    </row>
    <row r="22" spans="2:4" x14ac:dyDescent="0.3">
      <c r="B22" s="16" t="s">
        <v>38</v>
      </c>
      <c r="C22" s="16" t="s">
        <v>39</v>
      </c>
      <c r="D22" s="16" t="s">
        <v>40</v>
      </c>
    </row>
    <row r="36" ht="30" customHeight="1" x14ac:dyDescent="0.3"/>
  </sheetData>
  <mergeCells count="6">
    <mergeCell ref="B9:D9"/>
    <mergeCell ref="B2:D2"/>
    <mergeCell ref="B4:D4"/>
    <mergeCell ref="B5:D5"/>
    <mergeCell ref="B7:D7"/>
    <mergeCell ref="B8:D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9"/>
  <sheetViews>
    <sheetView showGridLines="0" tabSelected="1" topLeftCell="A4" zoomScaleNormal="100" workbookViewId="0">
      <selection sqref="A1:E1"/>
    </sheetView>
  </sheetViews>
  <sheetFormatPr defaultColWidth="8.6640625" defaultRowHeight="14.4" x14ac:dyDescent="0.3"/>
  <cols>
    <col min="1" max="1" width="22" customWidth="1"/>
    <col min="2" max="2" width="10" customWidth="1"/>
    <col min="3" max="4" width="55" customWidth="1"/>
    <col min="5" max="5" width="65" customWidth="1"/>
  </cols>
  <sheetData>
    <row r="1" spans="1:5" ht="30" customHeight="1" x14ac:dyDescent="0.3">
      <c r="A1" s="6" t="s">
        <v>801</v>
      </c>
      <c r="B1" s="6"/>
      <c r="C1" s="6"/>
      <c r="D1" s="6"/>
      <c r="E1" s="6"/>
    </row>
    <row r="2" spans="1:5" ht="24.75" customHeight="1" x14ac:dyDescent="0.3">
      <c r="A2" s="12" t="s">
        <v>41</v>
      </c>
      <c r="B2" s="12"/>
      <c r="C2" s="12"/>
      <c r="D2" s="12"/>
      <c r="E2" s="12"/>
    </row>
    <row r="4" spans="1:5" x14ac:dyDescent="0.3">
      <c r="A4" s="5" t="s">
        <v>42</v>
      </c>
      <c r="B4" s="5"/>
      <c r="C4" s="5"/>
      <c r="D4" s="5"/>
      <c r="E4" s="5"/>
    </row>
    <row r="5" spans="1:5" x14ac:dyDescent="0.3">
      <c r="A5" s="17" t="s">
        <v>43</v>
      </c>
      <c r="B5" s="17" t="s">
        <v>44</v>
      </c>
      <c r="C5" s="17" t="s">
        <v>45</v>
      </c>
      <c r="D5" s="17" t="s">
        <v>46</v>
      </c>
      <c r="E5" s="17" t="s">
        <v>47</v>
      </c>
    </row>
    <row r="6" spans="1:5" ht="30" customHeight="1" x14ac:dyDescent="0.3">
      <c r="A6" s="18">
        <v>6</v>
      </c>
      <c r="B6" s="18" t="s">
        <v>48</v>
      </c>
      <c r="C6" s="19" t="s">
        <v>49</v>
      </c>
      <c r="D6" s="18">
        <v>6</v>
      </c>
      <c r="E6" s="18" t="s">
        <v>50</v>
      </c>
    </row>
    <row r="7" spans="1:5" ht="30" customHeight="1" x14ac:dyDescent="0.3">
      <c r="A7" s="16">
        <v>5</v>
      </c>
      <c r="B7" s="16" t="s">
        <v>51</v>
      </c>
      <c r="C7" s="20" t="s">
        <v>52</v>
      </c>
      <c r="D7" s="16">
        <v>5</v>
      </c>
      <c r="E7" s="16" t="s">
        <v>53</v>
      </c>
    </row>
    <row r="8" spans="1:5" ht="30" customHeight="1" x14ac:dyDescent="0.3">
      <c r="A8" s="18">
        <v>4</v>
      </c>
      <c r="B8" s="18" t="s">
        <v>54</v>
      </c>
      <c r="C8" s="19" t="s">
        <v>55</v>
      </c>
      <c r="D8" s="18">
        <v>4</v>
      </c>
      <c r="E8" s="18" t="s">
        <v>56</v>
      </c>
    </row>
    <row r="9" spans="1:5" ht="30" customHeight="1" x14ac:dyDescent="0.3">
      <c r="A9" s="16">
        <v>3</v>
      </c>
      <c r="B9" s="16" t="s">
        <v>57</v>
      </c>
      <c r="C9" s="20" t="s">
        <v>58</v>
      </c>
      <c r="D9" s="16">
        <v>3</v>
      </c>
      <c r="E9" s="16" t="s">
        <v>59</v>
      </c>
    </row>
    <row r="10" spans="1:5" ht="30" customHeight="1" x14ac:dyDescent="0.3">
      <c r="A10" s="18">
        <v>2</v>
      </c>
      <c r="B10" s="18" t="s">
        <v>60</v>
      </c>
      <c r="C10" s="19" t="s">
        <v>61</v>
      </c>
      <c r="D10" s="18">
        <v>2</v>
      </c>
      <c r="E10" s="18" t="s">
        <v>62</v>
      </c>
    </row>
    <row r="11" spans="1:5" ht="30" customHeight="1" x14ac:dyDescent="0.3">
      <c r="A11" s="16">
        <v>1</v>
      </c>
      <c r="B11" s="16" t="s">
        <v>63</v>
      </c>
      <c r="C11" s="20" t="s">
        <v>64</v>
      </c>
      <c r="D11" s="16">
        <v>1</v>
      </c>
      <c r="E11" s="16" t="s">
        <v>65</v>
      </c>
    </row>
    <row r="13" spans="1:5" x14ac:dyDescent="0.3">
      <c r="A13" s="5" t="s">
        <v>66</v>
      </c>
      <c r="B13" s="5"/>
      <c r="C13" s="5"/>
      <c r="D13" s="5"/>
      <c r="E13" s="5"/>
    </row>
    <row r="15" spans="1:5" x14ac:dyDescent="0.3">
      <c r="A15" s="4" t="s">
        <v>67</v>
      </c>
      <c r="B15" s="4"/>
      <c r="C15" s="4"/>
      <c r="D15" s="4"/>
      <c r="E15" s="4"/>
    </row>
    <row r="16" spans="1:5" x14ac:dyDescent="0.3">
      <c r="A16" s="21" t="s">
        <v>68</v>
      </c>
      <c r="B16" s="21" t="s">
        <v>69</v>
      </c>
      <c r="C16" s="21" t="s">
        <v>6</v>
      </c>
      <c r="D16" s="21" t="s">
        <v>70</v>
      </c>
      <c r="E16" s="21" t="s">
        <v>71</v>
      </c>
    </row>
    <row r="17" spans="1:5" ht="27.6" x14ac:dyDescent="0.3">
      <c r="A17" s="22" t="s">
        <v>72</v>
      </c>
      <c r="B17" s="23" t="s">
        <v>73</v>
      </c>
      <c r="C17" s="20" t="s">
        <v>74</v>
      </c>
      <c r="D17" s="20" t="s">
        <v>75</v>
      </c>
      <c r="E17" s="20" t="s">
        <v>76</v>
      </c>
    </row>
    <row r="18" spans="1:5" ht="27.6" x14ac:dyDescent="0.3">
      <c r="A18" s="24" t="s">
        <v>77</v>
      </c>
      <c r="B18" s="25" t="s">
        <v>73</v>
      </c>
      <c r="C18" s="19" t="s">
        <v>78</v>
      </c>
      <c r="D18" s="19" t="s">
        <v>79</v>
      </c>
      <c r="E18" s="19" t="s">
        <v>80</v>
      </c>
    </row>
    <row r="19" spans="1:5" x14ac:dyDescent="0.3">
      <c r="A19" s="22" t="s">
        <v>81</v>
      </c>
      <c r="B19" s="23" t="s">
        <v>82</v>
      </c>
      <c r="C19" s="20" t="s">
        <v>83</v>
      </c>
      <c r="D19" s="20" t="s">
        <v>84</v>
      </c>
      <c r="E19" s="20" t="s">
        <v>85</v>
      </c>
    </row>
    <row r="20" spans="1:5" ht="27.6" x14ac:dyDescent="0.3">
      <c r="A20" s="24" t="s">
        <v>86</v>
      </c>
      <c r="B20" s="25" t="s">
        <v>82</v>
      </c>
      <c r="C20" s="19" t="s">
        <v>87</v>
      </c>
      <c r="D20" s="19" t="s">
        <v>88</v>
      </c>
      <c r="E20" s="19" t="s">
        <v>89</v>
      </c>
    </row>
    <row r="21" spans="1:5" x14ac:dyDescent="0.3">
      <c r="A21" s="22" t="s">
        <v>90</v>
      </c>
      <c r="B21" s="23" t="s">
        <v>91</v>
      </c>
      <c r="C21" s="20" t="s">
        <v>92</v>
      </c>
      <c r="D21" s="20" t="s">
        <v>93</v>
      </c>
      <c r="E21" s="20" t="s">
        <v>94</v>
      </c>
    </row>
    <row r="22" spans="1:5" ht="27.6" x14ac:dyDescent="0.3">
      <c r="A22" s="24" t="s">
        <v>95</v>
      </c>
      <c r="B22" s="25" t="s">
        <v>91</v>
      </c>
      <c r="C22" s="19" t="s">
        <v>96</v>
      </c>
      <c r="D22" s="19" t="s">
        <v>97</v>
      </c>
      <c r="E22" s="19" t="s">
        <v>98</v>
      </c>
    </row>
    <row r="24" spans="1:5" x14ac:dyDescent="0.3">
      <c r="A24" s="4" t="s">
        <v>99</v>
      </c>
      <c r="B24" s="4"/>
      <c r="C24" s="4"/>
      <c r="D24" s="4"/>
      <c r="E24" s="4"/>
    </row>
    <row r="25" spans="1:5" x14ac:dyDescent="0.3">
      <c r="A25" s="21" t="s">
        <v>68</v>
      </c>
      <c r="B25" s="21" t="s">
        <v>69</v>
      </c>
      <c r="C25" s="21" t="s">
        <v>6</v>
      </c>
      <c r="D25" s="21" t="s">
        <v>70</v>
      </c>
      <c r="E25" s="21" t="s">
        <v>71</v>
      </c>
    </row>
    <row r="26" spans="1:5" ht="27.6" x14ac:dyDescent="0.3">
      <c r="A26" s="22" t="s">
        <v>100</v>
      </c>
      <c r="B26" s="23" t="s">
        <v>73</v>
      </c>
      <c r="C26" s="20" t="s">
        <v>101</v>
      </c>
      <c r="D26" s="20" t="s">
        <v>102</v>
      </c>
      <c r="E26" s="20" t="s">
        <v>103</v>
      </c>
    </row>
    <row r="27" spans="1:5" ht="27.6" x14ac:dyDescent="0.3">
      <c r="A27" s="24" t="s">
        <v>104</v>
      </c>
      <c r="B27" s="25" t="s">
        <v>105</v>
      </c>
      <c r="C27" s="19" t="s">
        <v>106</v>
      </c>
      <c r="D27" s="19" t="s">
        <v>107</v>
      </c>
      <c r="E27" s="19" t="s">
        <v>108</v>
      </c>
    </row>
    <row r="28" spans="1:5" ht="27.6" x14ac:dyDescent="0.3">
      <c r="A28" s="22" t="s">
        <v>109</v>
      </c>
      <c r="B28" s="23" t="s">
        <v>105</v>
      </c>
      <c r="C28" s="20" t="s">
        <v>110</v>
      </c>
      <c r="D28" s="20" t="s">
        <v>111</v>
      </c>
      <c r="E28" s="20" t="s">
        <v>112</v>
      </c>
    </row>
    <row r="29" spans="1:5" ht="27.6" x14ac:dyDescent="0.3">
      <c r="A29" s="24" t="s">
        <v>113</v>
      </c>
      <c r="B29" s="25" t="s">
        <v>82</v>
      </c>
      <c r="C29" s="19" t="s">
        <v>114</v>
      </c>
      <c r="D29" s="19" t="s">
        <v>115</v>
      </c>
      <c r="E29" s="19" t="s">
        <v>116</v>
      </c>
    </row>
    <row r="30" spans="1:5" ht="27.6" x14ac:dyDescent="0.3">
      <c r="A30" s="22" t="s">
        <v>117</v>
      </c>
      <c r="B30" s="23" t="s">
        <v>91</v>
      </c>
      <c r="C30" s="20" t="s">
        <v>118</v>
      </c>
      <c r="D30" s="20" t="s">
        <v>119</v>
      </c>
      <c r="E30" s="20" t="s">
        <v>120</v>
      </c>
    </row>
    <row r="31" spans="1:5" ht="27.6" x14ac:dyDescent="0.3">
      <c r="A31" s="24" t="s">
        <v>121</v>
      </c>
      <c r="B31" s="25" t="s">
        <v>91</v>
      </c>
      <c r="C31" s="19" t="s">
        <v>122</v>
      </c>
      <c r="D31" s="19" t="s">
        <v>123</v>
      </c>
      <c r="E31" s="19" t="s">
        <v>124</v>
      </c>
    </row>
    <row r="33" spans="1:5" x14ac:dyDescent="0.3">
      <c r="A33" s="4" t="s">
        <v>125</v>
      </c>
      <c r="B33" s="4"/>
      <c r="C33" s="4"/>
      <c r="D33" s="4"/>
      <c r="E33" s="4"/>
    </row>
    <row r="34" spans="1:5" x14ac:dyDescent="0.3">
      <c r="A34" s="21" t="s">
        <v>68</v>
      </c>
      <c r="B34" s="21" t="s">
        <v>69</v>
      </c>
      <c r="C34" s="21" t="s">
        <v>6</v>
      </c>
      <c r="D34" s="21" t="s">
        <v>70</v>
      </c>
      <c r="E34" s="21" t="s">
        <v>71</v>
      </c>
    </row>
    <row r="35" spans="1:5" ht="27.6" x14ac:dyDescent="0.3">
      <c r="A35" s="22" t="s">
        <v>126</v>
      </c>
      <c r="B35" s="23" t="s">
        <v>73</v>
      </c>
      <c r="C35" s="20" t="s">
        <v>127</v>
      </c>
      <c r="D35" s="20" t="s">
        <v>128</v>
      </c>
      <c r="E35" s="20" t="s">
        <v>129</v>
      </c>
    </row>
    <row r="36" spans="1:5" ht="27.6" x14ac:dyDescent="0.3">
      <c r="A36" s="24" t="s">
        <v>130</v>
      </c>
      <c r="B36" s="25" t="s">
        <v>73</v>
      </c>
      <c r="C36" s="19" t="s">
        <v>131</v>
      </c>
      <c r="D36" s="19" t="s">
        <v>132</v>
      </c>
      <c r="E36" s="19" t="s">
        <v>133</v>
      </c>
    </row>
    <row r="37" spans="1:5" ht="27.6" x14ac:dyDescent="0.3">
      <c r="A37" s="22" t="s">
        <v>134</v>
      </c>
      <c r="B37" s="23" t="s">
        <v>105</v>
      </c>
      <c r="C37" s="20" t="s">
        <v>135</v>
      </c>
      <c r="D37" s="20" t="s">
        <v>136</v>
      </c>
      <c r="E37" s="20" t="s">
        <v>137</v>
      </c>
    </row>
    <row r="38" spans="1:5" ht="27.6" x14ac:dyDescent="0.3">
      <c r="A38" s="24" t="s">
        <v>138</v>
      </c>
      <c r="B38" s="25" t="s">
        <v>82</v>
      </c>
      <c r="C38" s="19" t="s">
        <v>139</v>
      </c>
      <c r="D38" s="19" t="s">
        <v>140</v>
      </c>
      <c r="E38" s="19" t="s">
        <v>141</v>
      </c>
    </row>
    <row r="39" spans="1:5" ht="27.6" x14ac:dyDescent="0.3">
      <c r="A39" s="22" t="s">
        <v>142</v>
      </c>
      <c r="B39" s="23" t="s">
        <v>91</v>
      </c>
      <c r="C39" s="20" t="s">
        <v>143</v>
      </c>
      <c r="D39" s="20" t="s">
        <v>144</v>
      </c>
      <c r="E39" s="20" t="s">
        <v>145</v>
      </c>
    </row>
    <row r="40" spans="1:5" ht="27.6" x14ac:dyDescent="0.3">
      <c r="A40" s="24" t="s">
        <v>146</v>
      </c>
      <c r="B40" s="25" t="s">
        <v>147</v>
      </c>
      <c r="C40" s="19" t="s">
        <v>148</v>
      </c>
      <c r="D40" s="19" t="s">
        <v>149</v>
      </c>
      <c r="E40" s="19" t="s">
        <v>150</v>
      </c>
    </row>
    <row r="42" spans="1:5" x14ac:dyDescent="0.3">
      <c r="A42" s="4" t="s">
        <v>151</v>
      </c>
      <c r="B42" s="4"/>
      <c r="C42" s="4"/>
      <c r="D42" s="4"/>
      <c r="E42" s="4"/>
    </row>
    <row r="43" spans="1:5" x14ac:dyDescent="0.3">
      <c r="A43" s="21" t="s">
        <v>68</v>
      </c>
      <c r="B43" s="21" t="s">
        <v>69</v>
      </c>
      <c r="C43" s="21" t="s">
        <v>6</v>
      </c>
      <c r="D43" s="21" t="s">
        <v>70</v>
      </c>
      <c r="E43" s="21" t="s">
        <v>71</v>
      </c>
    </row>
    <row r="44" spans="1:5" ht="27.6" x14ac:dyDescent="0.3">
      <c r="A44" s="22" t="s">
        <v>152</v>
      </c>
      <c r="B44" s="23" t="s">
        <v>73</v>
      </c>
      <c r="C44" s="20" t="s">
        <v>153</v>
      </c>
      <c r="D44" s="20" t="s">
        <v>154</v>
      </c>
      <c r="E44" s="20" t="s">
        <v>155</v>
      </c>
    </row>
    <row r="45" spans="1:5" ht="27.6" x14ac:dyDescent="0.3">
      <c r="A45" s="24" t="s">
        <v>156</v>
      </c>
      <c r="B45" s="25" t="s">
        <v>73</v>
      </c>
      <c r="C45" s="19" t="s">
        <v>157</v>
      </c>
      <c r="D45" s="19" t="s">
        <v>158</v>
      </c>
      <c r="E45" s="19" t="s">
        <v>159</v>
      </c>
    </row>
    <row r="46" spans="1:5" ht="27.6" x14ac:dyDescent="0.3">
      <c r="A46" s="22" t="s">
        <v>160</v>
      </c>
      <c r="B46" s="23" t="s">
        <v>105</v>
      </c>
      <c r="C46" s="20" t="s">
        <v>161</v>
      </c>
      <c r="D46" s="20" t="s">
        <v>162</v>
      </c>
      <c r="E46" s="20" t="s">
        <v>163</v>
      </c>
    </row>
    <row r="47" spans="1:5" ht="27.6" x14ac:dyDescent="0.3">
      <c r="A47" s="24" t="s">
        <v>164</v>
      </c>
      <c r="B47" s="25" t="s">
        <v>82</v>
      </c>
      <c r="C47" s="19" t="s">
        <v>165</v>
      </c>
      <c r="D47" s="19" t="s">
        <v>166</v>
      </c>
      <c r="E47" s="19" t="s">
        <v>167</v>
      </c>
    </row>
    <row r="48" spans="1:5" ht="27.6" x14ac:dyDescent="0.3">
      <c r="A48" s="22" t="s">
        <v>168</v>
      </c>
      <c r="B48" s="23" t="s">
        <v>91</v>
      </c>
      <c r="C48" s="20" t="s">
        <v>169</v>
      </c>
      <c r="D48" s="20" t="s">
        <v>170</v>
      </c>
      <c r="E48" s="20" t="s">
        <v>171</v>
      </c>
    </row>
    <row r="49" spans="1:5" ht="27.6" x14ac:dyDescent="0.3">
      <c r="A49" s="24" t="s">
        <v>172</v>
      </c>
      <c r="B49" s="25" t="s">
        <v>147</v>
      </c>
      <c r="C49" s="19" t="s">
        <v>173</v>
      </c>
      <c r="D49" s="19" t="s">
        <v>174</v>
      </c>
      <c r="E49" s="19" t="s">
        <v>175</v>
      </c>
    </row>
  </sheetData>
  <mergeCells count="8">
    <mergeCell ref="A24:E24"/>
    <mergeCell ref="A33:E33"/>
    <mergeCell ref="A42:E42"/>
    <mergeCell ref="A1:E1"/>
    <mergeCell ref="A2:E2"/>
    <mergeCell ref="A4:E4"/>
    <mergeCell ref="A13:E13"/>
    <mergeCell ref="A15:E15"/>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showGridLines="0" zoomScaleNormal="100" workbookViewId="0">
      <selection sqref="A1:C1"/>
    </sheetView>
  </sheetViews>
  <sheetFormatPr defaultColWidth="8.6640625" defaultRowHeight="14.4" x14ac:dyDescent="0.3"/>
  <cols>
    <col min="1" max="1" width="28" customWidth="1"/>
    <col min="2" max="2" width="80" customWidth="1"/>
    <col min="3" max="3" width="50" customWidth="1"/>
  </cols>
  <sheetData>
    <row r="1" spans="1:3" ht="30" customHeight="1" x14ac:dyDescent="0.3">
      <c r="A1" s="6" t="s">
        <v>802</v>
      </c>
      <c r="B1" s="6"/>
      <c r="C1" s="6"/>
    </row>
    <row r="2" spans="1:3" x14ac:dyDescent="0.3">
      <c r="A2" s="10" t="s">
        <v>176</v>
      </c>
      <c r="B2" s="10"/>
      <c r="C2" s="10"/>
    </row>
    <row r="4" spans="1:3" x14ac:dyDescent="0.3">
      <c r="A4" s="5" t="s">
        <v>177</v>
      </c>
      <c r="B4" s="5"/>
      <c r="C4" s="5"/>
    </row>
    <row r="5" spans="1:3" ht="21.75" customHeight="1" x14ac:dyDescent="0.3">
      <c r="A5" s="26" t="s">
        <v>178</v>
      </c>
      <c r="B5" s="7" t="s">
        <v>179</v>
      </c>
      <c r="C5" s="7"/>
    </row>
    <row r="6" spans="1:3" ht="21.75" customHeight="1" x14ac:dyDescent="0.3">
      <c r="A6" s="26" t="s">
        <v>180</v>
      </c>
      <c r="B6" s="7" t="s">
        <v>181</v>
      </c>
      <c r="C6" s="7"/>
    </row>
    <row r="7" spans="1:3" ht="21.75" customHeight="1" x14ac:dyDescent="0.3">
      <c r="A7" s="26" t="s">
        <v>182</v>
      </c>
      <c r="B7" s="7" t="s">
        <v>183</v>
      </c>
      <c r="C7" s="7"/>
    </row>
    <row r="8" spans="1:3" ht="21.75" customHeight="1" x14ac:dyDescent="0.3">
      <c r="A8" s="26" t="s">
        <v>184</v>
      </c>
      <c r="B8" s="7" t="s">
        <v>185</v>
      </c>
      <c r="C8" s="7"/>
    </row>
    <row r="9" spans="1:3" ht="21.75" customHeight="1" x14ac:dyDescent="0.3">
      <c r="A9" s="26" t="s">
        <v>186</v>
      </c>
      <c r="B9" s="7" t="s">
        <v>187</v>
      </c>
      <c r="C9" s="7"/>
    </row>
    <row r="10" spans="1:3" ht="21.75" customHeight="1" x14ac:dyDescent="0.3">
      <c r="A10" s="26" t="s">
        <v>188</v>
      </c>
      <c r="B10" s="7" t="s">
        <v>189</v>
      </c>
      <c r="C10" s="7"/>
    </row>
    <row r="11" spans="1:3" ht="21.75" customHeight="1" x14ac:dyDescent="0.3">
      <c r="A11" s="26" t="s">
        <v>190</v>
      </c>
      <c r="B11" s="7" t="s">
        <v>191</v>
      </c>
      <c r="C11" s="7"/>
    </row>
    <row r="14" spans="1:3" x14ac:dyDescent="0.3">
      <c r="A14" s="5" t="s">
        <v>192</v>
      </c>
      <c r="B14" s="5"/>
      <c r="C14" s="5"/>
    </row>
    <row r="15" spans="1:3" ht="45" customHeight="1" x14ac:dyDescent="0.3">
      <c r="A15" s="26" t="s">
        <v>193</v>
      </c>
      <c r="B15" s="7" t="s">
        <v>194</v>
      </c>
      <c r="C15" s="7"/>
    </row>
    <row r="16" spans="1:3" ht="45" customHeight="1" x14ac:dyDescent="0.3">
      <c r="A16" s="26" t="s">
        <v>195</v>
      </c>
      <c r="B16" s="7" t="s">
        <v>196</v>
      </c>
      <c r="C16" s="7"/>
    </row>
    <row r="17" spans="1:3" ht="45" customHeight="1" x14ac:dyDescent="0.3">
      <c r="A17" s="26" t="s">
        <v>197</v>
      </c>
      <c r="B17" s="7" t="s">
        <v>198</v>
      </c>
      <c r="C17" s="7"/>
    </row>
    <row r="18" spans="1:3" ht="45" customHeight="1" x14ac:dyDescent="0.3">
      <c r="A18" s="26" t="s">
        <v>199</v>
      </c>
      <c r="B18" s="7" t="s">
        <v>200</v>
      </c>
      <c r="C18" s="7"/>
    </row>
    <row r="20" spans="1:3" x14ac:dyDescent="0.3">
      <c r="A20" s="5" t="s">
        <v>201</v>
      </c>
      <c r="B20" s="5"/>
      <c r="C20" s="5"/>
    </row>
    <row r="21" spans="1:3" x14ac:dyDescent="0.3">
      <c r="A21" s="27" t="s">
        <v>202</v>
      </c>
      <c r="B21" s="27" t="s">
        <v>203</v>
      </c>
      <c r="C21" s="27" t="s">
        <v>204</v>
      </c>
    </row>
    <row r="22" spans="1:3" ht="34.5" customHeight="1" x14ac:dyDescent="0.3">
      <c r="A22" s="22" t="s">
        <v>205</v>
      </c>
      <c r="B22" s="20" t="s">
        <v>206</v>
      </c>
      <c r="C22" s="20" t="s">
        <v>207</v>
      </c>
    </row>
    <row r="23" spans="1:3" ht="34.5" customHeight="1" x14ac:dyDescent="0.3">
      <c r="A23" s="24" t="s">
        <v>208</v>
      </c>
      <c r="B23" s="19" t="s">
        <v>209</v>
      </c>
      <c r="C23" s="19" t="s">
        <v>210</v>
      </c>
    </row>
    <row r="24" spans="1:3" ht="34.5" customHeight="1" x14ac:dyDescent="0.3">
      <c r="A24" s="22" t="s">
        <v>211</v>
      </c>
      <c r="B24" s="20" t="s">
        <v>212</v>
      </c>
      <c r="C24" s="20" t="s">
        <v>213</v>
      </c>
    </row>
    <row r="25" spans="1:3" ht="34.5" customHeight="1" x14ac:dyDescent="0.3">
      <c r="A25" s="24" t="s">
        <v>214</v>
      </c>
      <c r="B25" s="19" t="s">
        <v>215</v>
      </c>
      <c r="C25" s="19" t="s">
        <v>216</v>
      </c>
    </row>
    <row r="26" spans="1:3" ht="34.5" customHeight="1" x14ac:dyDescent="0.3">
      <c r="A26" s="22" t="s">
        <v>217</v>
      </c>
      <c r="B26" s="20" t="s">
        <v>218</v>
      </c>
      <c r="C26" s="20" t="s">
        <v>219</v>
      </c>
    </row>
    <row r="27" spans="1:3" ht="34.5" customHeight="1" x14ac:dyDescent="0.3">
      <c r="A27" s="24" t="s">
        <v>220</v>
      </c>
      <c r="B27" s="19" t="s">
        <v>221</v>
      </c>
      <c r="C27" s="19" t="s">
        <v>222</v>
      </c>
    </row>
    <row r="28" spans="1:3" ht="34.5" customHeight="1" x14ac:dyDescent="0.3">
      <c r="A28" s="22" t="s">
        <v>223</v>
      </c>
      <c r="B28" s="20" t="s">
        <v>224</v>
      </c>
      <c r="C28" s="20" t="s">
        <v>225</v>
      </c>
    </row>
    <row r="30" spans="1:3" x14ac:dyDescent="0.3">
      <c r="A30" s="5" t="s">
        <v>226</v>
      </c>
      <c r="B30" s="5"/>
      <c r="C30" s="5"/>
    </row>
    <row r="31" spans="1:3" x14ac:dyDescent="0.3">
      <c r="A31" s="27" t="s">
        <v>227</v>
      </c>
      <c r="B31" s="3" t="s">
        <v>6</v>
      </c>
      <c r="C31" s="3"/>
    </row>
    <row r="32" spans="1:3" ht="24.75" customHeight="1" x14ac:dyDescent="0.3">
      <c r="A32" s="22" t="s">
        <v>228</v>
      </c>
      <c r="B32" s="7" t="s">
        <v>229</v>
      </c>
      <c r="C32" s="7"/>
    </row>
    <row r="33" spans="1:3" ht="24.75" customHeight="1" x14ac:dyDescent="0.3">
      <c r="A33" s="24" t="s">
        <v>230</v>
      </c>
      <c r="B33" s="2" t="s">
        <v>231</v>
      </c>
      <c r="C33" s="2"/>
    </row>
    <row r="34" spans="1:3" ht="24.75" customHeight="1" x14ac:dyDescent="0.3">
      <c r="A34" s="22" t="s">
        <v>232</v>
      </c>
      <c r="B34" s="7" t="s">
        <v>233</v>
      </c>
      <c r="C34" s="7"/>
    </row>
    <row r="35" spans="1:3" ht="24.75" customHeight="1" x14ac:dyDescent="0.3">
      <c r="A35" s="24" t="s">
        <v>234</v>
      </c>
      <c r="B35" s="2" t="s">
        <v>235</v>
      </c>
      <c r="C35" s="2"/>
    </row>
    <row r="36" spans="1:3" ht="24.75" customHeight="1" x14ac:dyDescent="0.3">
      <c r="A36" s="22" t="s">
        <v>236</v>
      </c>
      <c r="B36" s="7" t="s">
        <v>237</v>
      </c>
      <c r="C36" s="7"/>
    </row>
    <row r="37" spans="1:3" ht="24.75" customHeight="1" x14ac:dyDescent="0.3">
      <c r="A37" s="24" t="s">
        <v>238</v>
      </c>
      <c r="B37" s="2" t="s">
        <v>239</v>
      </c>
      <c r="C37" s="2"/>
    </row>
    <row r="38" spans="1:3" ht="24.75" customHeight="1" x14ac:dyDescent="0.3">
      <c r="A38" s="22" t="s">
        <v>240</v>
      </c>
      <c r="B38" s="7" t="s">
        <v>241</v>
      </c>
      <c r="C38" s="7"/>
    </row>
  </sheetData>
  <mergeCells count="25">
    <mergeCell ref="B34:C34"/>
    <mergeCell ref="B35:C35"/>
    <mergeCell ref="B36:C36"/>
    <mergeCell ref="B37:C37"/>
    <mergeCell ref="B38:C38"/>
    <mergeCell ref="A20:C20"/>
    <mergeCell ref="A30:C30"/>
    <mergeCell ref="B31:C31"/>
    <mergeCell ref="B32:C32"/>
    <mergeCell ref="B33:C33"/>
    <mergeCell ref="A14:C14"/>
    <mergeCell ref="B15:C15"/>
    <mergeCell ref="B16:C16"/>
    <mergeCell ref="B17:C17"/>
    <mergeCell ref="B18:C18"/>
    <mergeCell ref="B7:C7"/>
    <mergeCell ref="B8:C8"/>
    <mergeCell ref="B9:C9"/>
    <mergeCell ref="B10:C10"/>
    <mergeCell ref="B11:C11"/>
    <mergeCell ref="A1:C1"/>
    <mergeCell ref="A2:C2"/>
    <mergeCell ref="A4:C4"/>
    <mergeCell ref="B5:C5"/>
    <mergeCell ref="B6:C6"/>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93"/>
  <sheetViews>
    <sheetView showGridLines="0" topLeftCell="A91" zoomScaleNormal="100" workbookViewId="0">
      <selection sqref="A1:D1"/>
    </sheetView>
  </sheetViews>
  <sheetFormatPr defaultColWidth="8.6640625" defaultRowHeight="14.4" x14ac:dyDescent="0.3"/>
  <cols>
    <col min="1" max="1" width="40" customWidth="1"/>
    <col min="2" max="2" width="25" customWidth="1"/>
    <col min="3" max="3" width="45" customWidth="1"/>
    <col min="4" max="4" width="50" customWidth="1"/>
  </cols>
  <sheetData>
    <row r="1" spans="1:4" ht="30" customHeight="1" x14ac:dyDescent="0.3">
      <c r="A1" s="6" t="s">
        <v>242</v>
      </c>
      <c r="B1" s="6"/>
      <c r="C1" s="6"/>
      <c r="D1" s="6"/>
    </row>
    <row r="3" spans="1:4" x14ac:dyDescent="0.3">
      <c r="A3" s="5" t="s">
        <v>243</v>
      </c>
      <c r="B3" s="5"/>
      <c r="C3" s="5"/>
      <c r="D3" s="5"/>
    </row>
    <row r="4" spans="1:4" x14ac:dyDescent="0.3">
      <c r="A4" s="28" t="s">
        <v>244</v>
      </c>
      <c r="B4" s="28" t="s">
        <v>245</v>
      </c>
      <c r="C4" s="28" t="s">
        <v>246</v>
      </c>
      <c r="D4" s="28" t="s">
        <v>247</v>
      </c>
    </row>
    <row r="5" spans="1:4" x14ac:dyDescent="0.3">
      <c r="A5" s="16" t="s">
        <v>248</v>
      </c>
      <c r="B5" s="16" t="s">
        <v>249</v>
      </c>
      <c r="C5" s="16" t="s">
        <v>250</v>
      </c>
      <c r="D5" s="16" t="s">
        <v>251</v>
      </c>
    </row>
    <row r="6" spans="1:4" x14ac:dyDescent="0.3">
      <c r="A6" s="18" t="s">
        <v>252</v>
      </c>
      <c r="B6" s="18" t="s">
        <v>253</v>
      </c>
      <c r="C6" s="18" t="s">
        <v>250</v>
      </c>
      <c r="D6" s="18" t="s">
        <v>254</v>
      </c>
    </row>
    <row r="7" spans="1:4" x14ac:dyDescent="0.3">
      <c r="A7" s="16" t="s">
        <v>255</v>
      </c>
      <c r="B7" s="16" t="s">
        <v>256</v>
      </c>
      <c r="C7" s="16" t="s">
        <v>250</v>
      </c>
      <c r="D7" s="16" t="s">
        <v>257</v>
      </c>
    </row>
    <row r="8" spans="1:4" x14ac:dyDescent="0.3">
      <c r="A8" s="18" t="s">
        <v>258</v>
      </c>
      <c r="B8" s="18">
        <v>0.86599999999999999</v>
      </c>
      <c r="C8" s="18" t="s">
        <v>259</v>
      </c>
      <c r="D8" s="18" t="s">
        <v>260</v>
      </c>
    </row>
    <row r="9" spans="1:4" x14ac:dyDescent="0.3">
      <c r="A9" s="16" t="s">
        <v>261</v>
      </c>
      <c r="B9" s="16">
        <v>0.94399999999999995</v>
      </c>
      <c r="C9" s="16" t="s">
        <v>259</v>
      </c>
      <c r="D9" s="16" t="s">
        <v>262</v>
      </c>
    </row>
    <row r="10" spans="1:4" x14ac:dyDescent="0.3">
      <c r="A10" s="18" t="s">
        <v>263</v>
      </c>
      <c r="B10" s="18">
        <v>0.91200000000000003</v>
      </c>
      <c r="C10" s="18" t="s">
        <v>259</v>
      </c>
      <c r="D10" s="18" t="s">
        <v>264</v>
      </c>
    </row>
    <row r="11" spans="1:4" x14ac:dyDescent="0.3">
      <c r="A11" s="16" t="s">
        <v>265</v>
      </c>
      <c r="B11" s="16">
        <v>0.09</v>
      </c>
      <c r="C11" s="16" t="s">
        <v>250</v>
      </c>
      <c r="D11" s="16" t="s">
        <v>266</v>
      </c>
    </row>
    <row r="12" spans="1:4" x14ac:dyDescent="0.3">
      <c r="A12" s="18" t="s">
        <v>267</v>
      </c>
      <c r="B12" s="18" t="s">
        <v>268</v>
      </c>
      <c r="C12" s="18" t="s">
        <v>269</v>
      </c>
      <c r="D12" s="18" t="s">
        <v>270</v>
      </c>
    </row>
    <row r="13" spans="1:4" x14ac:dyDescent="0.3">
      <c r="A13" s="16" t="s">
        <v>271</v>
      </c>
      <c r="B13" s="16">
        <v>9.6150000000000002</v>
      </c>
      <c r="C13" s="16" t="s">
        <v>250</v>
      </c>
      <c r="D13" s="16" t="s">
        <v>272</v>
      </c>
    </row>
    <row r="14" spans="1:4" x14ac:dyDescent="0.3">
      <c r="A14" s="18" t="s">
        <v>273</v>
      </c>
      <c r="B14" s="18" t="s">
        <v>274</v>
      </c>
      <c r="C14" s="18" t="s">
        <v>250</v>
      </c>
      <c r="D14" s="18" t="s">
        <v>275</v>
      </c>
    </row>
    <row r="17" spans="1:4" x14ac:dyDescent="0.3">
      <c r="A17" s="5" t="s">
        <v>276</v>
      </c>
      <c r="B17" s="5"/>
      <c r="C17" s="5"/>
      <c r="D17" s="5"/>
    </row>
    <row r="18" spans="1:4" x14ac:dyDescent="0.3">
      <c r="A18" s="27" t="s">
        <v>277</v>
      </c>
      <c r="B18" s="3" t="s">
        <v>278</v>
      </c>
      <c r="C18" s="3"/>
      <c r="D18" s="3"/>
    </row>
    <row r="19" spans="1:4" x14ac:dyDescent="0.3">
      <c r="A19" s="16" t="s">
        <v>279</v>
      </c>
      <c r="B19" s="8" t="s">
        <v>280</v>
      </c>
      <c r="C19" s="8"/>
      <c r="D19" s="8"/>
    </row>
    <row r="20" spans="1:4" x14ac:dyDescent="0.3">
      <c r="A20" s="16" t="s">
        <v>281</v>
      </c>
      <c r="B20" s="8" t="s">
        <v>282</v>
      </c>
      <c r="C20" s="8"/>
      <c r="D20" s="8"/>
    </row>
    <row r="21" spans="1:4" x14ac:dyDescent="0.3">
      <c r="A21" s="16" t="s">
        <v>283</v>
      </c>
      <c r="B21" s="8" t="s">
        <v>284</v>
      </c>
      <c r="C21" s="8"/>
      <c r="D21" s="8"/>
    </row>
    <row r="22" spans="1:4" x14ac:dyDescent="0.3">
      <c r="A22" s="16" t="s">
        <v>285</v>
      </c>
      <c r="B22" s="8" t="s">
        <v>286</v>
      </c>
      <c r="C22" s="8"/>
      <c r="D22" s="8"/>
    </row>
    <row r="23" spans="1:4" x14ac:dyDescent="0.3">
      <c r="A23" s="16" t="s">
        <v>287</v>
      </c>
      <c r="B23" s="8" t="s">
        <v>288</v>
      </c>
      <c r="C23" s="8"/>
      <c r="D23" s="8"/>
    </row>
    <row r="24" spans="1:4" x14ac:dyDescent="0.3">
      <c r="A24" s="16" t="s">
        <v>289</v>
      </c>
      <c r="B24" s="8" t="s">
        <v>290</v>
      </c>
      <c r="C24" s="8"/>
      <c r="D24" s="8"/>
    </row>
    <row r="25" spans="1:4" x14ac:dyDescent="0.3">
      <c r="A25" s="16" t="s">
        <v>291</v>
      </c>
      <c r="B25" s="8" t="s">
        <v>292</v>
      </c>
      <c r="C25" s="8"/>
      <c r="D25" s="8"/>
    </row>
    <row r="28" spans="1:4" x14ac:dyDescent="0.3">
      <c r="A28" s="5" t="s">
        <v>293</v>
      </c>
      <c r="B28" s="5"/>
      <c r="C28" s="5"/>
      <c r="D28" s="5"/>
    </row>
    <row r="29" spans="1:4" x14ac:dyDescent="0.3">
      <c r="A29" s="27" t="s">
        <v>43</v>
      </c>
      <c r="B29" s="27" t="s">
        <v>44</v>
      </c>
      <c r="C29" s="27" t="s">
        <v>294</v>
      </c>
      <c r="D29" s="27" t="s">
        <v>295</v>
      </c>
    </row>
    <row r="30" spans="1:4" x14ac:dyDescent="0.3">
      <c r="A30" s="16">
        <v>6</v>
      </c>
      <c r="B30" s="16" t="s">
        <v>48</v>
      </c>
      <c r="C30" s="16">
        <v>6</v>
      </c>
      <c r="D30" s="16" t="s">
        <v>296</v>
      </c>
    </row>
    <row r="31" spans="1:4" x14ac:dyDescent="0.3">
      <c r="A31" s="16">
        <v>5</v>
      </c>
      <c r="B31" s="16" t="s">
        <v>51</v>
      </c>
      <c r="C31" s="16">
        <v>5</v>
      </c>
      <c r="D31" s="16" t="s">
        <v>297</v>
      </c>
    </row>
    <row r="32" spans="1:4" x14ac:dyDescent="0.3">
      <c r="A32" s="16">
        <v>4</v>
      </c>
      <c r="B32" s="16" t="s">
        <v>54</v>
      </c>
      <c r="C32" s="16">
        <v>2</v>
      </c>
      <c r="D32" s="16" t="s">
        <v>298</v>
      </c>
    </row>
    <row r="33" spans="1:4" x14ac:dyDescent="0.3">
      <c r="A33" s="16">
        <v>3</v>
      </c>
      <c r="B33" s="16" t="s">
        <v>57</v>
      </c>
      <c r="C33" s="16">
        <v>1</v>
      </c>
      <c r="D33" s="16" t="s">
        <v>299</v>
      </c>
    </row>
    <row r="34" spans="1:4" x14ac:dyDescent="0.3">
      <c r="A34" s="16">
        <v>2</v>
      </c>
      <c r="B34" s="16" t="s">
        <v>60</v>
      </c>
      <c r="C34" s="16">
        <v>6</v>
      </c>
      <c r="D34" s="16" t="s">
        <v>296</v>
      </c>
    </row>
    <row r="35" spans="1:4" x14ac:dyDescent="0.3">
      <c r="A35" s="16">
        <v>1</v>
      </c>
      <c r="B35" s="16" t="s">
        <v>63</v>
      </c>
      <c r="C35" s="16">
        <v>0</v>
      </c>
      <c r="D35" s="16" t="s">
        <v>300</v>
      </c>
    </row>
    <row r="36" spans="1:4" x14ac:dyDescent="0.3">
      <c r="A36" s="29" t="s">
        <v>301</v>
      </c>
      <c r="B36" s="29"/>
      <c r="C36" s="29">
        <v>20</v>
      </c>
      <c r="D36" s="29" t="s">
        <v>302</v>
      </c>
    </row>
    <row r="39" spans="1:4" x14ac:dyDescent="0.3">
      <c r="A39" s="5" t="s">
        <v>303</v>
      </c>
      <c r="B39" s="5"/>
      <c r="C39" s="5"/>
      <c r="D39" s="5"/>
    </row>
    <row r="40" spans="1:4" x14ac:dyDescent="0.3">
      <c r="A40" s="27" t="s">
        <v>43</v>
      </c>
      <c r="B40" s="3" t="s">
        <v>304</v>
      </c>
      <c r="C40" s="3"/>
      <c r="D40" s="3"/>
    </row>
    <row r="41" spans="1:4" x14ac:dyDescent="0.3">
      <c r="A41" s="16">
        <v>1</v>
      </c>
      <c r="B41" s="1">
        <v>0</v>
      </c>
      <c r="C41" s="1"/>
      <c r="D41" s="1"/>
    </row>
    <row r="42" spans="1:4" x14ac:dyDescent="0.3">
      <c r="A42" s="16">
        <v>2</v>
      </c>
      <c r="B42" s="1">
        <v>0.3</v>
      </c>
      <c r="C42" s="1"/>
      <c r="D42" s="1"/>
    </row>
    <row r="43" spans="1:4" x14ac:dyDescent="0.3">
      <c r="A43" s="16">
        <v>3</v>
      </c>
      <c r="B43" s="1">
        <v>0.05</v>
      </c>
      <c r="C43" s="1"/>
      <c r="D43" s="1"/>
    </row>
    <row r="44" spans="1:4" x14ac:dyDescent="0.3">
      <c r="A44" s="16">
        <v>4</v>
      </c>
      <c r="B44" s="1">
        <v>0.1</v>
      </c>
      <c r="C44" s="1"/>
      <c r="D44" s="1"/>
    </row>
    <row r="45" spans="1:4" x14ac:dyDescent="0.3">
      <c r="A45" s="16">
        <v>5</v>
      </c>
      <c r="B45" s="1">
        <v>0.25</v>
      </c>
      <c r="C45" s="1"/>
      <c r="D45" s="1"/>
    </row>
    <row r="46" spans="1:4" x14ac:dyDescent="0.3">
      <c r="A46" s="16">
        <v>6</v>
      </c>
      <c r="B46" s="1">
        <v>0.3</v>
      </c>
      <c r="C46" s="1"/>
      <c r="D46" s="1"/>
    </row>
    <row r="47" spans="1:4" x14ac:dyDescent="0.3">
      <c r="A47" s="26" t="s">
        <v>305</v>
      </c>
      <c r="B47" s="67">
        <v>0.255</v>
      </c>
      <c r="C47" s="67"/>
      <c r="D47" s="67"/>
    </row>
    <row r="55" spans="1:4" x14ac:dyDescent="0.3">
      <c r="A55" s="26" t="s">
        <v>306</v>
      </c>
      <c r="B55" s="67">
        <v>0.9</v>
      </c>
      <c r="C55" s="67"/>
      <c r="D55" s="67"/>
    </row>
    <row r="63" spans="1:4" x14ac:dyDescent="0.3">
      <c r="A63" s="26" t="s">
        <v>307</v>
      </c>
      <c r="B63" s="67">
        <v>0.86599999999999999</v>
      </c>
      <c r="C63" s="67"/>
      <c r="D63" s="67"/>
    </row>
    <row r="65" spans="1:4" x14ac:dyDescent="0.3">
      <c r="A65" s="5" t="s">
        <v>308</v>
      </c>
      <c r="B65" s="5"/>
      <c r="C65" s="5"/>
      <c r="D65" s="5"/>
    </row>
    <row r="66" spans="1:4" x14ac:dyDescent="0.3">
      <c r="A66" s="68" t="s">
        <v>309</v>
      </c>
      <c r="B66" s="68"/>
      <c r="C66" s="68"/>
      <c r="D66" s="68"/>
    </row>
    <row r="67" spans="1:4" x14ac:dyDescent="0.3">
      <c r="A67" s="69" t="s">
        <v>310</v>
      </c>
      <c r="B67" s="69"/>
      <c r="C67" s="69"/>
      <c r="D67" s="69"/>
    </row>
    <row r="68" spans="1:4" ht="19.5" customHeight="1" x14ac:dyDescent="0.3">
      <c r="A68" s="22" t="s">
        <v>311</v>
      </c>
      <c r="B68" s="7" t="s">
        <v>312</v>
      </c>
      <c r="C68" s="7"/>
      <c r="D68" s="7"/>
    </row>
    <row r="69" spans="1:4" ht="19.5" customHeight="1" x14ac:dyDescent="0.3">
      <c r="A69" s="22" t="s">
        <v>313</v>
      </c>
      <c r="B69" s="7" t="s">
        <v>314</v>
      </c>
      <c r="C69" s="7"/>
      <c r="D69" s="7"/>
    </row>
    <row r="70" spans="1:4" ht="34.5" customHeight="1" x14ac:dyDescent="0.3">
      <c r="A70" s="22" t="s">
        <v>315</v>
      </c>
      <c r="B70" s="7" t="s">
        <v>316</v>
      </c>
      <c r="C70" s="7"/>
      <c r="D70" s="7"/>
    </row>
    <row r="71" spans="1:4" ht="34.5" customHeight="1" x14ac:dyDescent="0.3">
      <c r="A71" s="22" t="s">
        <v>317</v>
      </c>
      <c r="B71" s="7" t="s">
        <v>318</v>
      </c>
      <c r="C71" s="7"/>
      <c r="D71" s="7"/>
    </row>
    <row r="72" spans="1:4" ht="34.5" customHeight="1" x14ac:dyDescent="0.3">
      <c r="A72" s="22" t="s">
        <v>319</v>
      </c>
      <c r="B72" s="7" t="s">
        <v>320</v>
      </c>
      <c r="C72" s="7"/>
      <c r="D72" s="7"/>
    </row>
    <row r="73" spans="1:4" ht="19.5" customHeight="1" x14ac:dyDescent="0.3">
      <c r="A73" s="22" t="s">
        <v>321</v>
      </c>
      <c r="B73" s="7" t="s">
        <v>314</v>
      </c>
      <c r="C73" s="7"/>
      <c r="D73" s="7"/>
    </row>
    <row r="74" spans="1:4" ht="19.5" customHeight="1" x14ac:dyDescent="0.3">
      <c r="A74" s="22" t="s">
        <v>322</v>
      </c>
      <c r="B74" s="7" t="s">
        <v>323</v>
      </c>
      <c r="C74" s="7"/>
      <c r="D74" s="7"/>
    </row>
    <row r="75" spans="1:4" ht="19.5" customHeight="1" x14ac:dyDescent="0.3">
      <c r="A75" s="22" t="s">
        <v>324</v>
      </c>
      <c r="B75" s="7" t="s">
        <v>325</v>
      </c>
      <c r="C75" s="7"/>
      <c r="D75" s="7"/>
    </row>
    <row r="77" spans="1:4" x14ac:dyDescent="0.3">
      <c r="A77" s="69" t="s">
        <v>326</v>
      </c>
      <c r="B77" s="69"/>
      <c r="C77" s="69"/>
      <c r="D77" s="69"/>
    </row>
    <row r="78" spans="1:4" ht="19.5" customHeight="1" x14ac:dyDescent="0.3">
      <c r="A78" s="22" t="s">
        <v>311</v>
      </c>
      <c r="B78" s="7" t="s">
        <v>327</v>
      </c>
      <c r="C78" s="7"/>
      <c r="D78" s="7"/>
    </row>
    <row r="79" spans="1:4" ht="19.5" customHeight="1" x14ac:dyDescent="0.3">
      <c r="A79" s="22" t="s">
        <v>313</v>
      </c>
      <c r="B79" s="7" t="s">
        <v>312</v>
      </c>
      <c r="C79" s="7"/>
      <c r="D79" s="7"/>
    </row>
    <row r="80" spans="1:4" ht="34.5" customHeight="1" x14ac:dyDescent="0.3">
      <c r="A80" s="22" t="s">
        <v>315</v>
      </c>
      <c r="B80" s="7" t="s">
        <v>328</v>
      </c>
      <c r="C80" s="7"/>
      <c r="D80" s="7"/>
    </row>
    <row r="81" spans="1:4" ht="34.5" customHeight="1" x14ac:dyDescent="0.3">
      <c r="A81" s="22" t="s">
        <v>317</v>
      </c>
      <c r="B81" s="7" t="s">
        <v>329</v>
      </c>
      <c r="C81" s="7"/>
      <c r="D81" s="7"/>
    </row>
    <row r="82" spans="1:4" ht="34.5" customHeight="1" x14ac:dyDescent="0.3">
      <c r="A82" s="22" t="s">
        <v>319</v>
      </c>
      <c r="B82" s="7" t="s">
        <v>330</v>
      </c>
      <c r="C82" s="7"/>
      <c r="D82" s="7"/>
    </row>
    <row r="83" spans="1:4" ht="19.5" customHeight="1" x14ac:dyDescent="0.3">
      <c r="A83" s="22" t="s">
        <v>321</v>
      </c>
      <c r="B83" s="7" t="s">
        <v>312</v>
      </c>
      <c r="C83" s="7"/>
      <c r="D83" s="7"/>
    </row>
    <row r="84" spans="1:4" ht="19.5" customHeight="1" x14ac:dyDescent="0.3">
      <c r="A84" s="22" t="s">
        <v>322</v>
      </c>
      <c r="B84" s="7" t="s">
        <v>331</v>
      </c>
      <c r="C84" s="7"/>
      <c r="D84" s="7"/>
    </row>
    <row r="85" spans="1:4" ht="19.5" customHeight="1" x14ac:dyDescent="0.3">
      <c r="A85" s="22" t="s">
        <v>324</v>
      </c>
      <c r="B85" s="7" t="s">
        <v>325</v>
      </c>
      <c r="C85" s="7"/>
      <c r="D85" s="7"/>
    </row>
    <row r="87" spans="1:4" x14ac:dyDescent="0.3">
      <c r="A87" s="5" t="s">
        <v>332</v>
      </c>
      <c r="B87" s="5"/>
      <c r="C87" s="5"/>
      <c r="D87" s="5"/>
    </row>
    <row r="88" spans="1:4" x14ac:dyDescent="0.3">
      <c r="A88" s="22" t="s">
        <v>333</v>
      </c>
      <c r="B88" s="8" t="s">
        <v>253</v>
      </c>
      <c r="C88" s="8"/>
      <c r="D88" s="8"/>
    </row>
    <row r="89" spans="1:4" x14ac:dyDescent="0.3">
      <c r="A89" s="22" t="s">
        <v>334</v>
      </c>
      <c r="B89" s="8" t="s">
        <v>335</v>
      </c>
      <c r="C89" s="8"/>
      <c r="D89" s="8"/>
    </row>
    <row r="90" spans="1:4" x14ac:dyDescent="0.3">
      <c r="A90" s="22" t="s">
        <v>336</v>
      </c>
      <c r="B90" s="8" t="s">
        <v>337</v>
      </c>
      <c r="C90" s="8"/>
      <c r="D90" s="8"/>
    </row>
    <row r="91" spans="1:4" x14ac:dyDescent="0.3">
      <c r="A91" s="22" t="s">
        <v>338</v>
      </c>
      <c r="B91" s="8" t="s">
        <v>339</v>
      </c>
      <c r="C91" s="8"/>
      <c r="D91" s="8"/>
    </row>
    <row r="93" spans="1:4" ht="39.75" customHeight="1" x14ac:dyDescent="0.3">
      <c r="A93" s="70" t="s">
        <v>340</v>
      </c>
      <c r="B93" s="70"/>
      <c r="C93" s="70"/>
      <c r="D93" s="70"/>
    </row>
  </sheetData>
  <mergeCells count="49">
    <mergeCell ref="B89:D89"/>
    <mergeCell ref="B90:D90"/>
    <mergeCell ref="B91:D91"/>
    <mergeCell ref="A93:D93"/>
    <mergeCell ref="B83:D83"/>
    <mergeCell ref="B84:D84"/>
    <mergeCell ref="B85:D85"/>
    <mergeCell ref="A87:D87"/>
    <mergeCell ref="B88:D88"/>
    <mergeCell ref="B78:D78"/>
    <mergeCell ref="B79:D79"/>
    <mergeCell ref="B80:D80"/>
    <mergeCell ref="B81:D81"/>
    <mergeCell ref="B82:D82"/>
    <mergeCell ref="B72:D72"/>
    <mergeCell ref="B73:D73"/>
    <mergeCell ref="B74:D74"/>
    <mergeCell ref="B75:D75"/>
    <mergeCell ref="A77:D77"/>
    <mergeCell ref="A67:D67"/>
    <mergeCell ref="B68:D68"/>
    <mergeCell ref="B69:D69"/>
    <mergeCell ref="B70:D70"/>
    <mergeCell ref="B71:D71"/>
    <mergeCell ref="B47:D47"/>
    <mergeCell ref="B55:D55"/>
    <mergeCell ref="B63:D63"/>
    <mergeCell ref="A65:D65"/>
    <mergeCell ref="A66:D66"/>
    <mergeCell ref="B42:D42"/>
    <mergeCell ref="B43:D43"/>
    <mergeCell ref="B44:D44"/>
    <mergeCell ref="B45:D45"/>
    <mergeCell ref="B46:D46"/>
    <mergeCell ref="B25:D25"/>
    <mergeCell ref="A28:D28"/>
    <mergeCell ref="A39:D39"/>
    <mergeCell ref="B40:D40"/>
    <mergeCell ref="B41:D41"/>
    <mergeCell ref="B20:D20"/>
    <mergeCell ref="B21:D21"/>
    <mergeCell ref="B22:D22"/>
    <mergeCell ref="B23:D23"/>
    <mergeCell ref="B24:D24"/>
    <mergeCell ref="A1:D1"/>
    <mergeCell ref="A3:D3"/>
    <mergeCell ref="A17:D17"/>
    <mergeCell ref="B18:D18"/>
    <mergeCell ref="B19:D19"/>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1"/>
  <sheetViews>
    <sheetView showGridLines="0" topLeftCell="A31" zoomScaleNormal="100" workbookViewId="0">
      <selection sqref="A1:G1"/>
    </sheetView>
  </sheetViews>
  <sheetFormatPr defaultColWidth="8.6640625" defaultRowHeight="14.4" x14ac:dyDescent="0.3"/>
  <cols>
    <col min="1" max="2" width="15" customWidth="1"/>
    <col min="3" max="3" width="20" customWidth="1"/>
    <col min="4" max="4" width="60" customWidth="1"/>
    <col min="5" max="5" width="22" customWidth="1"/>
    <col min="6" max="6" width="45" customWidth="1"/>
    <col min="7" max="7" width="18" customWidth="1"/>
  </cols>
  <sheetData>
    <row r="1" spans="1:7" ht="30" customHeight="1" x14ac:dyDescent="0.3">
      <c r="A1" s="6" t="s">
        <v>341</v>
      </c>
      <c r="B1" s="6"/>
      <c r="C1" s="6"/>
      <c r="D1" s="6"/>
      <c r="E1" s="6"/>
      <c r="F1" s="6"/>
      <c r="G1" s="6"/>
    </row>
    <row r="2" spans="1:7" x14ac:dyDescent="0.3">
      <c r="A2" s="10" t="s">
        <v>342</v>
      </c>
      <c r="B2" s="10"/>
      <c r="C2" s="10"/>
      <c r="D2" s="10"/>
      <c r="E2" s="10"/>
      <c r="F2" s="10"/>
      <c r="G2" s="10"/>
    </row>
    <row r="4" spans="1:7" x14ac:dyDescent="0.3">
      <c r="A4" s="5" t="s">
        <v>343</v>
      </c>
      <c r="B4" s="5"/>
      <c r="C4" s="5"/>
      <c r="D4" s="5"/>
      <c r="E4" s="5"/>
      <c r="F4" s="5"/>
      <c r="G4" s="5"/>
    </row>
    <row r="5" spans="1:7" ht="45" customHeight="1" x14ac:dyDescent="0.3">
      <c r="A5" s="7" t="s">
        <v>344</v>
      </c>
      <c r="B5" s="7"/>
      <c r="C5" s="7"/>
      <c r="D5" s="7"/>
      <c r="E5" s="7"/>
      <c r="F5" s="7"/>
      <c r="G5" s="7"/>
    </row>
    <row r="7" spans="1:7" x14ac:dyDescent="0.3">
      <c r="A7" s="5" t="s">
        <v>345</v>
      </c>
      <c r="B7" s="5"/>
      <c r="C7" s="5"/>
      <c r="D7" s="5"/>
      <c r="E7" s="5"/>
      <c r="F7" s="5"/>
      <c r="G7" s="5"/>
    </row>
    <row r="8" spans="1:7" x14ac:dyDescent="0.3">
      <c r="A8" s="28" t="s">
        <v>346</v>
      </c>
      <c r="B8" s="28" t="s">
        <v>347</v>
      </c>
      <c r="C8" s="28" t="s">
        <v>348</v>
      </c>
      <c r="D8" s="28" t="s">
        <v>349</v>
      </c>
      <c r="E8" s="28" t="s">
        <v>350</v>
      </c>
      <c r="F8" s="28" t="s">
        <v>351</v>
      </c>
      <c r="G8" s="28" t="s">
        <v>352</v>
      </c>
    </row>
    <row r="9" spans="1:7" ht="34.5" customHeight="1" x14ac:dyDescent="0.3">
      <c r="A9" s="30" t="s">
        <v>353</v>
      </c>
      <c r="B9" s="30" t="s">
        <v>197</v>
      </c>
      <c r="C9" s="30" t="s">
        <v>327</v>
      </c>
      <c r="D9" s="30" t="s">
        <v>354</v>
      </c>
      <c r="E9" s="30" t="s">
        <v>355</v>
      </c>
      <c r="F9" s="30" t="s">
        <v>356</v>
      </c>
      <c r="G9" s="30" t="s">
        <v>357</v>
      </c>
    </row>
    <row r="10" spans="1:7" ht="34.5" customHeight="1" x14ac:dyDescent="0.3">
      <c r="A10" s="31" t="s">
        <v>353</v>
      </c>
      <c r="B10" s="31" t="s">
        <v>197</v>
      </c>
      <c r="C10" s="31" t="s">
        <v>327</v>
      </c>
      <c r="D10" s="31" t="s">
        <v>358</v>
      </c>
      <c r="E10" s="31" t="s">
        <v>359</v>
      </c>
      <c r="F10" s="31" t="s">
        <v>360</v>
      </c>
      <c r="G10" s="31" t="s">
        <v>357</v>
      </c>
    </row>
    <row r="11" spans="1:7" ht="34.5" customHeight="1" x14ac:dyDescent="0.3">
      <c r="A11" s="30" t="s">
        <v>353</v>
      </c>
      <c r="B11" s="30" t="s">
        <v>199</v>
      </c>
      <c r="C11" s="30" t="s">
        <v>327</v>
      </c>
      <c r="D11" s="30" t="s">
        <v>361</v>
      </c>
      <c r="E11" s="30" t="s">
        <v>362</v>
      </c>
      <c r="F11" s="30" t="s">
        <v>363</v>
      </c>
      <c r="G11" s="30" t="s">
        <v>51</v>
      </c>
    </row>
    <row r="12" spans="1:7" ht="34.5" customHeight="1" x14ac:dyDescent="0.3">
      <c r="A12" s="31" t="s">
        <v>364</v>
      </c>
      <c r="B12" s="31" t="s">
        <v>195</v>
      </c>
      <c r="C12" s="31" t="s">
        <v>312</v>
      </c>
      <c r="D12" s="31" t="s">
        <v>365</v>
      </c>
      <c r="E12" s="31" t="s">
        <v>366</v>
      </c>
      <c r="F12" s="31" t="s">
        <v>367</v>
      </c>
      <c r="G12" s="31" t="s">
        <v>357</v>
      </c>
    </row>
    <row r="13" spans="1:7" ht="34.5" customHeight="1" x14ac:dyDescent="0.3">
      <c r="A13" s="30" t="s">
        <v>364</v>
      </c>
      <c r="B13" s="30" t="s">
        <v>195</v>
      </c>
      <c r="C13" s="30" t="s">
        <v>312</v>
      </c>
      <c r="D13" s="30" t="s">
        <v>368</v>
      </c>
      <c r="E13" s="30" t="s">
        <v>369</v>
      </c>
      <c r="F13" s="30" t="s">
        <v>370</v>
      </c>
      <c r="G13" s="30" t="s">
        <v>357</v>
      </c>
    </row>
    <row r="14" spans="1:7" ht="34.5" customHeight="1" x14ac:dyDescent="0.3">
      <c r="A14" s="31" t="s">
        <v>364</v>
      </c>
      <c r="B14" s="31" t="s">
        <v>199</v>
      </c>
      <c r="C14" s="31" t="s">
        <v>327</v>
      </c>
      <c r="D14" s="31" t="s">
        <v>371</v>
      </c>
      <c r="E14" s="31" t="s">
        <v>372</v>
      </c>
      <c r="F14" s="31" t="s">
        <v>373</v>
      </c>
      <c r="G14" s="31" t="s">
        <v>51</v>
      </c>
    </row>
    <row r="15" spans="1:7" ht="34.5" customHeight="1" x14ac:dyDescent="0.3">
      <c r="A15" s="30" t="s">
        <v>374</v>
      </c>
      <c r="B15" s="30" t="s">
        <v>197</v>
      </c>
      <c r="C15" s="30" t="s">
        <v>312</v>
      </c>
      <c r="D15" s="30" t="s">
        <v>375</v>
      </c>
      <c r="E15" s="30" t="s">
        <v>376</v>
      </c>
      <c r="F15" s="30" t="s">
        <v>377</v>
      </c>
      <c r="G15" s="30" t="s">
        <v>357</v>
      </c>
    </row>
    <row r="16" spans="1:7" ht="34.5" customHeight="1" x14ac:dyDescent="0.3">
      <c r="A16" s="31" t="s">
        <v>378</v>
      </c>
      <c r="B16" s="31" t="s">
        <v>193</v>
      </c>
      <c r="C16" s="31" t="s">
        <v>327</v>
      </c>
      <c r="D16" s="31" t="s">
        <v>379</v>
      </c>
      <c r="E16" s="31" t="s">
        <v>380</v>
      </c>
      <c r="F16" s="31" t="s">
        <v>381</v>
      </c>
      <c r="G16" s="31" t="s">
        <v>357</v>
      </c>
    </row>
    <row r="17" spans="1:7" ht="34.5" customHeight="1" x14ac:dyDescent="0.3">
      <c r="A17" s="30" t="s">
        <v>378</v>
      </c>
      <c r="B17" s="30" t="s">
        <v>193</v>
      </c>
      <c r="C17" s="30" t="s">
        <v>327</v>
      </c>
      <c r="D17" s="30" t="s">
        <v>382</v>
      </c>
      <c r="E17" s="30" t="s">
        <v>383</v>
      </c>
      <c r="F17" s="30" t="s">
        <v>384</v>
      </c>
      <c r="G17" s="30" t="s">
        <v>357</v>
      </c>
    </row>
    <row r="18" spans="1:7" ht="34.5" customHeight="1" x14ac:dyDescent="0.3">
      <c r="A18" s="31" t="s">
        <v>378</v>
      </c>
      <c r="B18" s="31" t="s">
        <v>193</v>
      </c>
      <c r="C18" s="31" t="s">
        <v>327</v>
      </c>
      <c r="D18" s="31" t="s">
        <v>385</v>
      </c>
      <c r="E18" s="31" t="s">
        <v>386</v>
      </c>
      <c r="F18" s="31" t="s">
        <v>387</v>
      </c>
      <c r="G18" s="31" t="s">
        <v>357</v>
      </c>
    </row>
    <row r="19" spans="1:7" ht="34.5" customHeight="1" x14ac:dyDescent="0.3">
      <c r="A19" s="30" t="s">
        <v>388</v>
      </c>
      <c r="B19" s="30" t="s">
        <v>193</v>
      </c>
      <c r="C19" s="30" t="s">
        <v>312</v>
      </c>
      <c r="D19" s="30" t="s">
        <v>389</v>
      </c>
      <c r="E19" s="30" t="s">
        <v>390</v>
      </c>
      <c r="F19" s="30" t="s">
        <v>391</v>
      </c>
      <c r="G19" s="30" t="s">
        <v>357</v>
      </c>
    </row>
    <row r="22" spans="1:7" x14ac:dyDescent="0.3">
      <c r="A22" s="5" t="s">
        <v>392</v>
      </c>
      <c r="B22" s="5"/>
      <c r="C22" s="5"/>
      <c r="D22" s="5"/>
      <c r="E22" s="5"/>
      <c r="F22" s="5"/>
      <c r="G22" s="5"/>
    </row>
    <row r="23" spans="1:7" x14ac:dyDescent="0.3">
      <c r="A23" s="26" t="s">
        <v>393</v>
      </c>
      <c r="B23" s="8" t="s">
        <v>394</v>
      </c>
      <c r="C23" s="8"/>
      <c r="D23" s="8"/>
      <c r="E23" s="8"/>
      <c r="F23" s="8"/>
      <c r="G23" s="8"/>
    </row>
    <row r="24" spans="1:7" x14ac:dyDescent="0.3">
      <c r="A24" s="26" t="s">
        <v>395</v>
      </c>
      <c r="B24" s="8" t="s">
        <v>396</v>
      </c>
      <c r="C24" s="8"/>
      <c r="D24" s="8"/>
      <c r="E24" s="8"/>
      <c r="F24" s="8"/>
      <c r="G24" s="8"/>
    </row>
    <row r="25" spans="1:7" x14ac:dyDescent="0.3">
      <c r="A25" s="26" t="s">
        <v>397</v>
      </c>
      <c r="B25" s="8" t="s">
        <v>398</v>
      </c>
      <c r="C25" s="8"/>
      <c r="D25" s="8"/>
      <c r="E25" s="8"/>
      <c r="F25" s="8"/>
      <c r="G25" s="8"/>
    </row>
    <row r="28" spans="1:7" x14ac:dyDescent="0.3">
      <c r="A28" s="5" t="s">
        <v>399</v>
      </c>
      <c r="B28" s="5"/>
      <c r="C28" s="5"/>
      <c r="D28" s="5"/>
      <c r="E28" s="5"/>
      <c r="F28" s="5"/>
      <c r="G28" s="5"/>
    </row>
    <row r="29" spans="1:7" x14ac:dyDescent="0.3">
      <c r="A29" s="27" t="s">
        <v>400</v>
      </c>
      <c r="B29" s="3" t="s">
        <v>6</v>
      </c>
      <c r="C29" s="3"/>
      <c r="D29" s="3" t="s">
        <v>401</v>
      </c>
      <c r="E29" s="3"/>
      <c r="F29" s="3"/>
      <c r="G29" s="3"/>
    </row>
    <row r="30" spans="1:7" ht="30" customHeight="1" x14ac:dyDescent="0.3">
      <c r="A30" s="24" t="s">
        <v>402</v>
      </c>
      <c r="B30" s="2" t="s">
        <v>403</v>
      </c>
      <c r="C30" s="2"/>
      <c r="D30" s="2" t="s">
        <v>404</v>
      </c>
      <c r="E30" s="2"/>
      <c r="F30" s="2"/>
      <c r="G30" s="2"/>
    </row>
    <row r="31" spans="1:7" ht="30" customHeight="1" x14ac:dyDescent="0.3">
      <c r="A31" s="22" t="s">
        <v>405</v>
      </c>
      <c r="B31" s="7" t="s">
        <v>406</v>
      </c>
      <c r="C31" s="7"/>
      <c r="D31" s="7" t="s">
        <v>407</v>
      </c>
      <c r="E31" s="7"/>
      <c r="F31" s="7"/>
      <c r="G31" s="7"/>
    </row>
    <row r="32" spans="1:7" ht="30" customHeight="1" x14ac:dyDescent="0.3">
      <c r="A32" s="24" t="s">
        <v>408</v>
      </c>
      <c r="B32" s="2" t="s">
        <v>409</v>
      </c>
      <c r="C32" s="2"/>
      <c r="D32" s="2" t="s">
        <v>410</v>
      </c>
      <c r="E32" s="2"/>
      <c r="F32" s="2"/>
      <c r="G32" s="2"/>
    </row>
    <row r="33" spans="1:7" ht="30" customHeight="1" x14ac:dyDescent="0.3">
      <c r="A33" s="22" t="s">
        <v>411</v>
      </c>
      <c r="B33" s="7" t="s">
        <v>412</v>
      </c>
      <c r="C33" s="7"/>
      <c r="D33" s="7" t="s">
        <v>413</v>
      </c>
      <c r="E33" s="7"/>
      <c r="F33" s="7"/>
      <c r="G33" s="7"/>
    </row>
    <row r="34" spans="1:7" ht="30" customHeight="1" x14ac:dyDescent="0.3">
      <c r="A34" s="24" t="s">
        <v>414</v>
      </c>
      <c r="B34" s="2" t="s">
        <v>415</v>
      </c>
      <c r="C34" s="2"/>
      <c r="D34" s="2" t="s">
        <v>416</v>
      </c>
      <c r="E34" s="2"/>
      <c r="F34" s="2"/>
      <c r="G34" s="2"/>
    </row>
    <row r="35" spans="1:7" x14ac:dyDescent="0.3">
      <c r="A35" s="5" t="s">
        <v>417</v>
      </c>
      <c r="B35" s="5"/>
      <c r="C35" s="5"/>
      <c r="D35" s="5"/>
      <c r="E35" s="5"/>
      <c r="F35" s="5"/>
      <c r="G35" s="5"/>
    </row>
    <row r="36" spans="1:7" x14ac:dyDescent="0.3">
      <c r="A36" s="27" t="s">
        <v>418</v>
      </c>
      <c r="B36" s="3" t="s">
        <v>203</v>
      </c>
      <c r="C36" s="3"/>
      <c r="D36" s="27" t="s">
        <v>419</v>
      </c>
      <c r="E36" s="3" t="s">
        <v>420</v>
      </c>
      <c r="F36" s="3"/>
      <c r="G36" s="3"/>
    </row>
    <row r="37" spans="1:7" ht="24.75" customHeight="1" x14ac:dyDescent="0.3">
      <c r="A37" s="22" t="s">
        <v>421</v>
      </c>
      <c r="B37" s="7" t="s">
        <v>422</v>
      </c>
      <c r="C37" s="7"/>
      <c r="D37" s="16" t="s">
        <v>423</v>
      </c>
      <c r="E37" s="7" t="s">
        <v>424</v>
      </c>
      <c r="F37" s="7"/>
      <c r="G37" s="7"/>
    </row>
    <row r="38" spans="1:7" ht="24.75" customHeight="1" x14ac:dyDescent="0.3">
      <c r="A38" s="24" t="s">
        <v>425</v>
      </c>
      <c r="B38" s="2" t="s">
        <v>426</v>
      </c>
      <c r="C38" s="2"/>
      <c r="D38" s="18" t="s">
        <v>427</v>
      </c>
      <c r="E38" s="2" t="s">
        <v>428</v>
      </c>
      <c r="F38" s="2"/>
      <c r="G38" s="2"/>
    </row>
    <row r="39" spans="1:7" ht="24.75" customHeight="1" x14ac:dyDescent="0.3">
      <c r="A39" s="22" t="s">
        <v>429</v>
      </c>
      <c r="B39" s="7" t="s">
        <v>430</v>
      </c>
      <c r="C39" s="7"/>
      <c r="D39" s="16" t="s">
        <v>431</v>
      </c>
      <c r="E39" s="7" t="s">
        <v>432</v>
      </c>
      <c r="F39" s="7"/>
      <c r="G39" s="7"/>
    </row>
    <row r="40" spans="1:7" ht="24.75" customHeight="1" x14ac:dyDescent="0.3">
      <c r="A40" s="24" t="s">
        <v>433</v>
      </c>
      <c r="B40" s="2" t="s">
        <v>434</v>
      </c>
      <c r="C40" s="2"/>
      <c r="D40" s="18" t="s">
        <v>435</v>
      </c>
      <c r="E40" s="2" t="s">
        <v>436</v>
      </c>
      <c r="F40" s="2"/>
      <c r="G40" s="2"/>
    </row>
    <row r="41" spans="1:7" ht="24.75" customHeight="1" x14ac:dyDescent="0.3">
      <c r="A41" s="22" t="s">
        <v>437</v>
      </c>
      <c r="B41" s="7" t="s">
        <v>438</v>
      </c>
      <c r="C41" s="7"/>
      <c r="D41" s="16" t="s">
        <v>435</v>
      </c>
      <c r="E41" s="7" t="s">
        <v>439</v>
      </c>
      <c r="F41" s="7"/>
      <c r="G41" s="7"/>
    </row>
  </sheetData>
  <mergeCells count="35">
    <mergeCell ref="B41:C41"/>
    <mergeCell ref="E41:G41"/>
    <mergeCell ref="B38:C38"/>
    <mergeCell ref="E38:G38"/>
    <mergeCell ref="B39:C39"/>
    <mergeCell ref="E39:G39"/>
    <mergeCell ref="B40:C40"/>
    <mergeCell ref="E40:G40"/>
    <mergeCell ref="A35:G35"/>
    <mergeCell ref="B36:C36"/>
    <mergeCell ref="E36:G36"/>
    <mergeCell ref="B37:C37"/>
    <mergeCell ref="E37:G37"/>
    <mergeCell ref="B32:C32"/>
    <mergeCell ref="D32:G32"/>
    <mergeCell ref="B33:C33"/>
    <mergeCell ref="D33:G33"/>
    <mergeCell ref="B34:C34"/>
    <mergeCell ref="D34:G34"/>
    <mergeCell ref="B29:C29"/>
    <mergeCell ref="D29:G29"/>
    <mergeCell ref="B30:C30"/>
    <mergeCell ref="D30:G30"/>
    <mergeCell ref="B31:C31"/>
    <mergeCell ref="D31:G31"/>
    <mergeCell ref="A22:G22"/>
    <mergeCell ref="B23:G23"/>
    <mergeCell ref="B24:G24"/>
    <mergeCell ref="B25:G25"/>
    <mergeCell ref="A28:G28"/>
    <mergeCell ref="A1:G1"/>
    <mergeCell ref="A2:G2"/>
    <mergeCell ref="A4:G4"/>
    <mergeCell ref="A5:G5"/>
    <mergeCell ref="A7:G7"/>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47"/>
  <sheetViews>
    <sheetView showGridLines="0" zoomScaleNormal="100" workbookViewId="0">
      <selection sqref="A1:H1"/>
    </sheetView>
  </sheetViews>
  <sheetFormatPr defaultColWidth="8.6640625" defaultRowHeight="14.4" x14ac:dyDescent="0.3"/>
  <cols>
    <col min="1" max="1" width="18" customWidth="1"/>
    <col min="2" max="4" width="20" customWidth="1"/>
    <col min="5" max="6" width="22" customWidth="1"/>
    <col min="7" max="7" width="14" customWidth="1"/>
    <col min="8" max="8" width="18" customWidth="1"/>
  </cols>
  <sheetData>
    <row r="1" spans="1:8" ht="30" customHeight="1" x14ac:dyDescent="0.3">
      <c r="A1" s="6" t="s">
        <v>799</v>
      </c>
      <c r="B1" s="6"/>
      <c r="C1" s="6"/>
      <c r="D1" s="6"/>
      <c r="E1" s="6"/>
      <c r="F1" s="6"/>
      <c r="G1" s="6"/>
      <c r="H1" s="6"/>
    </row>
    <row r="2" spans="1:8" x14ac:dyDescent="0.3">
      <c r="A2" s="68" t="s">
        <v>440</v>
      </c>
      <c r="B2" s="68"/>
      <c r="C2" s="68"/>
      <c r="D2" s="68"/>
      <c r="E2" s="68"/>
      <c r="F2" s="68"/>
      <c r="G2" s="68"/>
      <c r="H2" s="68"/>
    </row>
    <row r="3" spans="1:8" x14ac:dyDescent="0.3">
      <c r="A3" s="68" t="s">
        <v>441</v>
      </c>
      <c r="B3" s="68"/>
      <c r="C3" s="68"/>
      <c r="D3" s="68"/>
      <c r="E3" s="68"/>
      <c r="F3" s="68"/>
      <c r="G3" s="68"/>
      <c r="H3" s="68"/>
    </row>
    <row r="5" spans="1:8" x14ac:dyDescent="0.3">
      <c r="A5" s="32" t="s">
        <v>347</v>
      </c>
      <c r="B5" s="32" t="s">
        <v>378</v>
      </c>
      <c r="C5" s="32" t="s">
        <v>353</v>
      </c>
      <c r="D5" s="32" t="s">
        <v>364</v>
      </c>
      <c r="E5" s="32" t="s">
        <v>374</v>
      </c>
      <c r="F5" s="32" t="s">
        <v>388</v>
      </c>
      <c r="G5" s="32" t="s">
        <v>442</v>
      </c>
      <c r="H5" s="32" t="s">
        <v>443</v>
      </c>
    </row>
    <row r="6" spans="1:8" x14ac:dyDescent="0.3">
      <c r="A6" s="24" t="s">
        <v>193</v>
      </c>
      <c r="B6" s="33" t="s">
        <v>444</v>
      </c>
      <c r="C6" s="33" t="s">
        <v>444</v>
      </c>
      <c r="D6" s="33" t="s">
        <v>445</v>
      </c>
      <c r="E6" s="33" t="s">
        <v>444</v>
      </c>
      <c r="F6" s="33" t="s">
        <v>446</v>
      </c>
      <c r="G6" s="34">
        <v>5.4</v>
      </c>
      <c r="H6" s="25" t="s">
        <v>447</v>
      </c>
    </row>
    <row r="7" spans="1:8" x14ac:dyDescent="0.3">
      <c r="A7" s="22" t="s">
        <v>195</v>
      </c>
      <c r="B7" s="35" t="s">
        <v>448</v>
      </c>
      <c r="C7" s="35" t="s">
        <v>449</v>
      </c>
      <c r="D7" s="35" t="s">
        <v>446</v>
      </c>
      <c r="E7" s="35" t="s">
        <v>448</v>
      </c>
      <c r="F7" s="35" t="s">
        <v>448</v>
      </c>
      <c r="G7" s="36">
        <v>2.8</v>
      </c>
      <c r="H7" s="23" t="s">
        <v>450</v>
      </c>
    </row>
    <row r="8" spans="1:8" x14ac:dyDescent="0.3">
      <c r="A8" s="24" t="s">
        <v>197</v>
      </c>
      <c r="B8" s="33" t="s">
        <v>448</v>
      </c>
      <c r="C8" s="33" t="s">
        <v>444</v>
      </c>
      <c r="D8" s="33" t="s">
        <v>446</v>
      </c>
      <c r="E8" s="33" t="s">
        <v>446</v>
      </c>
      <c r="F8" s="33" t="s">
        <v>445</v>
      </c>
      <c r="G8" s="34">
        <v>4.4000000000000004</v>
      </c>
      <c r="H8" s="25" t="s">
        <v>451</v>
      </c>
    </row>
    <row r="9" spans="1:8" x14ac:dyDescent="0.3">
      <c r="A9" s="22" t="s">
        <v>199</v>
      </c>
      <c r="B9" s="35" t="s">
        <v>448</v>
      </c>
      <c r="C9" s="35" t="s">
        <v>444</v>
      </c>
      <c r="D9" s="35" t="s">
        <v>444</v>
      </c>
      <c r="E9" s="35" t="s">
        <v>446</v>
      </c>
      <c r="F9" s="35" t="s">
        <v>448</v>
      </c>
      <c r="G9" s="36">
        <v>4.2</v>
      </c>
      <c r="H9" s="23" t="s">
        <v>452</v>
      </c>
    </row>
    <row r="10" spans="1:8" x14ac:dyDescent="0.3">
      <c r="A10" s="37" t="s">
        <v>453</v>
      </c>
      <c r="B10" s="38">
        <v>3</v>
      </c>
      <c r="C10" s="38">
        <v>5.25</v>
      </c>
      <c r="D10" s="38">
        <v>5</v>
      </c>
      <c r="E10" s="38">
        <v>4.5</v>
      </c>
      <c r="F10" s="38">
        <v>3.25</v>
      </c>
      <c r="G10" s="39">
        <v>4.2</v>
      </c>
      <c r="H10" s="40"/>
    </row>
    <row r="12" spans="1:8" x14ac:dyDescent="0.3">
      <c r="A12" s="71" t="s">
        <v>454</v>
      </c>
      <c r="B12" s="71"/>
      <c r="C12" s="71"/>
      <c r="D12" s="71"/>
      <c r="E12" s="71"/>
      <c r="F12" s="71"/>
      <c r="G12" s="71"/>
      <c r="H12" s="71"/>
    </row>
    <row r="13" spans="1:8" x14ac:dyDescent="0.3">
      <c r="A13" s="41" t="s">
        <v>347</v>
      </c>
      <c r="B13" s="41" t="s">
        <v>378</v>
      </c>
      <c r="C13" s="41" t="s">
        <v>353</v>
      </c>
      <c r="D13" s="41" t="s">
        <v>364</v>
      </c>
      <c r="E13" s="41" t="s">
        <v>374</v>
      </c>
      <c r="F13" s="41" t="s">
        <v>388</v>
      </c>
    </row>
    <row r="14" spans="1:8" x14ac:dyDescent="0.3">
      <c r="A14" s="16" t="s">
        <v>193</v>
      </c>
      <c r="B14" s="23">
        <v>6</v>
      </c>
      <c r="C14" s="23">
        <v>6</v>
      </c>
      <c r="D14" s="23">
        <v>4</v>
      </c>
      <c r="E14" s="23">
        <v>6</v>
      </c>
      <c r="F14" s="23">
        <v>5</v>
      </c>
    </row>
    <row r="15" spans="1:8" x14ac:dyDescent="0.3">
      <c r="A15" s="16" t="s">
        <v>195</v>
      </c>
      <c r="B15" s="23">
        <v>2</v>
      </c>
      <c r="C15" s="23">
        <v>3</v>
      </c>
      <c r="D15" s="23">
        <v>5</v>
      </c>
      <c r="E15" s="23">
        <v>2</v>
      </c>
      <c r="F15" s="23">
        <v>2</v>
      </c>
    </row>
    <row r="16" spans="1:8" x14ac:dyDescent="0.3">
      <c r="A16" s="16" t="s">
        <v>197</v>
      </c>
      <c r="B16" s="23">
        <v>2</v>
      </c>
      <c r="C16" s="23">
        <v>6</v>
      </c>
      <c r="D16" s="23">
        <v>5</v>
      </c>
      <c r="E16" s="23">
        <v>5</v>
      </c>
      <c r="F16" s="23">
        <v>4</v>
      </c>
    </row>
    <row r="17" spans="1:8" x14ac:dyDescent="0.3">
      <c r="A17" s="16" t="s">
        <v>199</v>
      </c>
      <c r="B17" s="23">
        <v>2</v>
      </c>
      <c r="C17" s="23">
        <v>6</v>
      </c>
      <c r="D17" s="23">
        <v>6</v>
      </c>
      <c r="E17" s="23">
        <v>5</v>
      </c>
      <c r="F17" s="23">
        <v>2</v>
      </c>
    </row>
    <row r="19" spans="1:8" x14ac:dyDescent="0.3">
      <c r="A19" s="71" t="s">
        <v>455</v>
      </c>
      <c r="B19" s="71"/>
      <c r="C19" s="71"/>
      <c r="D19" s="71"/>
      <c r="E19" s="71"/>
      <c r="F19" s="71"/>
      <c r="G19" s="71"/>
      <c r="H19" s="71"/>
    </row>
    <row r="20" spans="1:8" x14ac:dyDescent="0.3">
      <c r="A20" s="27" t="s">
        <v>346</v>
      </c>
      <c r="B20" s="27" t="s">
        <v>347</v>
      </c>
      <c r="C20" s="3" t="s">
        <v>456</v>
      </c>
      <c r="D20" s="3"/>
      <c r="E20" s="3"/>
      <c r="F20" s="3"/>
      <c r="G20" s="3"/>
      <c r="H20" s="27" t="s">
        <v>17</v>
      </c>
    </row>
    <row r="21" spans="1:8" ht="30" customHeight="1" x14ac:dyDescent="0.3">
      <c r="A21" s="16" t="s">
        <v>378</v>
      </c>
      <c r="B21" s="16" t="s">
        <v>193</v>
      </c>
      <c r="C21" s="7" t="s">
        <v>457</v>
      </c>
      <c r="D21" s="7"/>
      <c r="E21" s="7"/>
      <c r="F21" s="7"/>
      <c r="G21" s="7"/>
      <c r="H21" s="20" t="s">
        <v>458</v>
      </c>
    </row>
    <row r="22" spans="1:8" ht="30" customHeight="1" x14ac:dyDescent="0.3">
      <c r="A22" s="18" t="s">
        <v>378</v>
      </c>
      <c r="B22" s="18" t="s">
        <v>195</v>
      </c>
      <c r="C22" s="2" t="s">
        <v>459</v>
      </c>
      <c r="D22" s="2"/>
      <c r="E22" s="2"/>
      <c r="F22" s="2"/>
      <c r="G22" s="2"/>
      <c r="H22" s="19" t="s">
        <v>460</v>
      </c>
    </row>
    <row r="23" spans="1:8" ht="30" customHeight="1" x14ac:dyDescent="0.3">
      <c r="A23" s="16" t="s">
        <v>378</v>
      </c>
      <c r="B23" s="16" t="s">
        <v>197</v>
      </c>
      <c r="C23" s="7" t="s">
        <v>461</v>
      </c>
      <c r="D23" s="7"/>
      <c r="E23" s="7"/>
      <c r="F23" s="7"/>
      <c r="G23" s="7"/>
      <c r="H23" s="20" t="s">
        <v>460</v>
      </c>
    </row>
    <row r="24" spans="1:8" ht="30" customHeight="1" x14ac:dyDescent="0.3">
      <c r="A24" s="18" t="s">
        <v>378</v>
      </c>
      <c r="B24" s="18" t="s">
        <v>199</v>
      </c>
      <c r="C24" s="2" t="s">
        <v>462</v>
      </c>
      <c r="D24" s="2"/>
      <c r="E24" s="2"/>
      <c r="F24" s="2"/>
      <c r="G24" s="2"/>
      <c r="H24" s="19" t="s">
        <v>460</v>
      </c>
    </row>
    <row r="25" spans="1:8" ht="30" customHeight="1" x14ac:dyDescent="0.3">
      <c r="A25" s="16" t="s">
        <v>353</v>
      </c>
      <c r="B25" s="16" t="s">
        <v>193</v>
      </c>
      <c r="C25" s="7" t="s">
        <v>463</v>
      </c>
      <c r="D25" s="7"/>
      <c r="E25" s="7"/>
      <c r="F25" s="7"/>
      <c r="G25" s="7"/>
      <c r="H25" s="20" t="s">
        <v>464</v>
      </c>
    </row>
    <row r="26" spans="1:8" ht="30" customHeight="1" x14ac:dyDescent="0.3">
      <c r="A26" s="18" t="s">
        <v>353</v>
      </c>
      <c r="B26" s="18" t="s">
        <v>195</v>
      </c>
      <c r="C26" s="2" t="s">
        <v>465</v>
      </c>
      <c r="D26" s="2"/>
      <c r="E26" s="2"/>
      <c r="F26" s="2"/>
      <c r="G26" s="2"/>
      <c r="H26" s="19" t="s">
        <v>466</v>
      </c>
    </row>
    <row r="27" spans="1:8" ht="30" customHeight="1" x14ac:dyDescent="0.3">
      <c r="A27" s="16" t="s">
        <v>353</v>
      </c>
      <c r="B27" s="16" t="s">
        <v>197</v>
      </c>
      <c r="C27" s="7" t="s">
        <v>467</v>
      </c>
      <c r="D27" s="7"/>
      <c r="E27" s="7"/>
      <c r="F27" s="7"/>
      <c r="G27" s="7"/>
      <c r="H27" s="20" t="s">
        <v>468</v>
      </c>
    </row>
    <row r="28" spans="1:8" ht="30" customHeight="1" x14ac:dyDescent="0.3">
      <c r="A28" s="18" t="s">
        <v>353</v>
      </c>
      <c r="B28" s="18" t="s">
        <v>199</v>
      </c>
      <c r="C28" s="2" t="s">
        <v>469</v>
      </c>
      <c r="D28" s="2"/>
      <c r="E28" s="2"/>
      <c r="F28" s="2"/>
      <c r="G28" s="2"/>
      <c r="H28" s="19" t="s">
        <v>362</v>
      </c>
    </row>
    <row r="29" spans="1:8" ht="30" customHeight="1" x14ac:dyDescent="0.3">
      <c r="A29" s="16" t="s">
        <v>364</v>
      </c>
      <c r="B29" s="16" t="s">
        <v>193</v>
      </c>
      <c r="C29" s="7" t="s">
        <v>470</v>
      </c>
      <c r="D29" s="7"/>
      <c r="E29" s="7"/>
      <c r="F29" s="7"/>
      <c r="G29" s="7"/>
      <c r="H29" s="20" t="s">
        <v>471</v>
      </c>
    </row>
    <row r="30" spans="1:8" ht="30" customHeight="1" x14ac:dyDescent="0.3">
      <c r="A30" s="18" t="s">
        <v>364</v>
      </c>
      <c r="B30" s="18" t="s">
        <v>195</v>
      </c>
      <c r="C30" s="2" t="s">
        <v>472</v>
      </c>
      <c r="D30" s="2"/>
      <c r="E30" s="2"/>
      <c r="F30" s="2"/>
      <c r="G30" s="2"/>
      <c r="H30" s="19" t="s">
        <v>473</v>
      </c>
    </row>
    <row r="31" spans="1:8" ht="30" customHeight="1" x14ac:dyDescent="0.3">
      <c r="A31" s="16" t="s">
        <v>364</v>
      </c>
      <c r="B31" s="16" t="s">
        <v>197</v>
      </c>
      <c r="C31" s="7" t="s">
        <v>474</v>
      </c>
      <c r="D31" s="7"/>
      <c r="E31" s="7"/>
      <c r="F31" s="7"/>
      <c r="G31" s="7"/>
      <c r="H31" s="20" t="s">
        <v>475</v>
      </c>
    </row>
    <row r="32" spans="1:8" ht="30" customHeight="1" x14ac:dyDescent="0.3">
      <c r="A32" s="18" t="s">
        <v>364</v>
      </c>
      <c r="B32" s="18" t="s">
        <v>199</v>
      </c>
      <c r="C32" s="2" t="s">
        <v>476</v>
      </c>
      <c r="D32" s="2"/>
      <c r="E32" s="2"/>
      <c r="F32" s="2"/>
      <c r="G32" s="2"/>
      <c r="H32" s="19" t="s">
        <v>477</v>
      </c>
    </row>
    <row r="33" spans="1:8" ht="30" customHeight="1" x14ac:dyDescent="0.3">
      <c r="A33" s="16" t="s">
        <v>374</v>
      </c>
      <c r="B33" s="16" t="s">
        <v>193</v>
      </c>
      <c r="C33" s="7" t="s">
        <v>478</v>
      </c>
      <c r="D33" s="7"/>
      <c r="E33" s="7"/>
      <c r="F33" s="7"/>
      <c r="G33" s="7"/>
      <c r="H33" s="20" t="s">
        <v>479</v>
      </c>
    </row>
    <row r="34" spans="1:8" ht="30" customHeight="1" x14ac:dyDescent="0.3">
      <c r="A34" s="18" t="s">
        <v>374</v>
      </c>
      <c r="B34" s="18" t="s">
        <v>195</v>
      </c>
      <c r="C34" s="2" t="s">
        <v>480</v>
      </c>
      <c r="D34" s="2"/>
      <c r="E34" s="2"/>
      <c r="F34" s="2"/>
      <c r="G34" s="2"/>
      <c r="H34" s="19" t="s">
        <v>460</v>
      </c>
    </row>
    <row r="35" spans="1:8" ht="30" customHeight="1" x14ac:dyDescent="0.3">
      <c r="A35" s="16" t="s">
        <v>374</v>
      </c>
      <c r="B35" s="16" t="s">
        <v>197</v>
      </c>
      <c r="C35" s="7" t="s">
        <v>481</v>
      </c>
      <c r="D35" s="7"/>
      <c r="E35" s="7"/>
      <c r="F35" s="7"/>
      <c r="G35" s="7"/>
      <c r="H35" s="20" t="s">
        <v>482</v>
      </c>
    </row>
    <row r="36" spans="1:8" ht="30" customHeight="1" x14ac:dyDescent="0.3">
      <c r="A36" s="18" t="s">
        <v>374</v>
      </c>
      <c r="B36" s="18" t="s">
        <v>199</v>
      </c>
      <c r="C36" s="2" t="s">
        <v>483</v>
      </c>
      <c r="D36" s="2"/>
      <c r="E36" s="2"/>
      <c r="F36" s="2"/>
      <c r="G36" s="2"/>
      <c r="H36" s="19" t="s">
        <v>484</v>
      </c>
    </row>
    <row r="37" spans="1:8" ht="30" customHeight="1" x14ac:dyDescent="0.3">
      <c r="A37" s="16" t="s">
        <v>388</v>
      </c>
      <c r="B37" s="16" t="s">
        <v>193</v>
      </c>
      <c r="C37" s="7" t="s">
        <v>485</v>
      </c>
      <c r="D37" s="7"/>
      <c r="E37" s="7"/>
      <c r="F37" s="7"/>
      <c r="G37" s="7"/>
      <c r="H37" s="20" t="s">
        <v>486</v>
      </c>
    </row>
    <row r="38" spans="1:8" ht="30" customHeight="1" x14ac:dyDescent="0.3">
      <c r="A38" s="18" t="s">
        <v>388</v>
      </c>
      <c r="B38" s="18" t="s">
        <v>195</v>
      </c>
      <c r="C38" s="2" t="s">
        <v>487</v>
      </c>
      <c r="D38" s="2"/>
      <c r="E38" s="2"/>
      <c r="F38" s="2"/>
      <c r="G38" s="2"/>
      <c r="H38" s="19" t="s">
        <v>460</v>
      </c>
    </row>
    <row r="39" spans="1:8" ht="30" customHeight="1" x14ac:dyDescent="0.3">
      <c r="A39" s="16" t="s">
        <v>388</v>
      </c>
      <c r="B39" s="16" t="s">
        <v>197</v>
      </c>
      <c r="C39" s="7" t="s">
        <v>488</v>
      </c>
      <c r="D39" s="7"/>
      <c r="E39" s="7"/>
      <c r="F39" s="7"/>
      <c r="G39" s="7"/>
      <c r="H39" s="20" t="s">
        <v>489</v>
      </c>
    </row>
    <row r="40" spans="1:8" ht="30" customHeight="1" x14ac:dyDescent="0.3">
      <c r="A40" s="18" t="s">
        <v>388</v>
      </c>
      <c r="B40" s="18" t="s">
        <v>199</v>
      </c>
      <c r="C40" s="2" t="s">
        <v>490</v>
      </c>
      <c r="D40" s="2"/>
      <c r="E40" s="2"/>
      <c r="F40" s="2"/>
      <c r="G40" s="2"/>
      <c r="H40" s="19" t="s">
        <v>491</v>
      </c>
    </row>
    <row r="41" spans="1:8" x14ac:dyDescent="0.3">
      <c r="A41" s="71" t="s">
        <v>492</v>
      </c>
      <c r="B41" s="71"/>
      <c r="C41" s="71"/>
      <c r="D41" s="71"/>
      <c r="E41" s="71"/>
      <c r="F41" s="71"/>
      <c r="G41" s="71"/>
      <c r="H41" s="71"/>
    </row>
    <row r="42" spans="1:8" x14ac:dyDescent="0.3">
      <c r="A42" s="27" t="s">
        <v>346</v>
      </c>
      <c r="B42" s="3" t="s">
        <v>493</v>
      </c>
      <c r="C42" s="3"/>
      <c r="D42" s="3"/>
      <c r="E42" s="3"/>
      <c r="F42" s="3"/>
      <c r="G42" s="3"/>
      <c r="H42" s="3"/>
    </row>
    <row r="43" spans="1:8" ht="34.5" customHeight="1" x14ac:dyDescent="0.3">
      <c r="A43" s="22" t="s">
        <v>378</v>
      </c>
      <c r="B43" s="7" t="s">
        <v>494</v>
      </c>
      <c r="C43" s="7"/>
      <c r="D43" s="7"/>
      <c r="E43" s="7"/>
      <c r="F43" s="7"/>
      <c r="G43" s="7"/>
      <c r="H43" s="7"/>
    </row>
    <row r="44" spans="1:8" ht="34.5" customHeight="1" x14ac:dyDescent="0.3">
      <c r="A44" s="24" t="s">
        <v>353</v>
      </c>
      <c r="B44" s="2" t="s">
        <v>495</v>
      </c>
      <c r="C44" s="2"/>
      <c r="D44" s="2"/>
      <c r="E44" s="2"/>
      <c r="F44" s="2"/>
      <c r="G44" s="2"/>
      <c r="H44" s="2"/>
    </row>
    <row r="45" spans="1:8" ht="34.5" customHeight="1" x14ac:dyDescent="0.3">
      <c r="A45" s="22" t="s">
        <v>364</v>
      </c>
      <c r="B45" s="7" t="s">
        <v>496</v>
      </c>
      <c r="C45" s="7"/>
      <c r="D45" s="7"/>
      <c r="E45" s="7"/>
      <c r="F45" s="7"/>
      <c r="G45" s="7"/>
      <c r="H45" s="7"/>
    </row>
    <row r="46" spans="1:8" ht="34.5" customHeight="1" x14ac:dyDescent="0.3">
      <c r="A46" s="24" t="s">
        <v>374</v>
      </c>
      <c r="B46" s="2" t="s">
        <v>497</v>
      </c>
      <c r="C46" s="2"/>
      <c r="D46" s="2"/>
      <c r="E46" s="2"/>
      <c r="F46" s="2"/>
      <c r="G46" s="2"/>
      <c r="H46" s="2"/>
    </row>
    <row r="47" spans="1:8" ht="34.5" customHeight="1" x14ac:dyDescent="0.3">
      <c r="A47" s="22" t="s">
        <v>388</v>
      </c>
      <c r="B47" s="7" t="s">
        <v>498</v>
      </c>
      <c r="C47" s="7"/>
      <c r="D47" s="7"/>
      <c r="E47" s="7"/>
      <c r="F47" s="7"/>
      <c r="G47" s="7"/>
      <c r="H47" s="7"/>
    </row>
  </sheetData>
  <mergeCells count="33">
    <mergeCell ref="B45:H45"/>
    <mergeCell ref="B46:H46"/>
    <mergeCell ref="B47:H47"/>
    <mergeCell ref="C40:G40"/>
    <mergeCell ref="A41:H41"/>
    <mergeCell ref="B42:H42"/>
    <mergeCell ref="B43:H43"/>
    <mergeCell ref="B44:H44"/>
    <mergeCell ref="C35:G35"/>
    <mergeCell ref="C36:G36"/>
    <mergeCell ref="C37:G37"/>
    <mergeCell ref="C38:G38"/>
    <mergeCell ref="C39:G39"/>
    <mergeCell ref="C30:G30"/>
    <mergeCell ref="C31:G31"/>
    <mergeCell ref="C32:G32"/>
    <mergeCell ref="C33:G33"/>
    <mergeCell ref="C34:G34"/>
    <mergeCell ref="C25:G25"/>
    <mergeCell ref="C26:G26"/>
    <mergeCell ref="C27:G27"/>
    <mergeCell ref="C28:G28"/>
    <mergeCell ref="C29:G29"/>
    <mergeCell ref="C20:G20"/>
    <mergeCell ref="C21:G21"/>
    <mergeCell ref="C22:G22"/>
    <mergeCell ref="C23:G23"/>
    <mergeCell ref="C24:G24"/>
    <mergeCell ref="A1:H1"/>
    <mergeCell ref="A2:H2"/>
    <mergeCell ref="A3:H3"/>
    <mergeCell ref="A12:H12"/>
    <mergeCell ref="A19:H19"/>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50"/>
  <sheetViews>
    <sheetView showGridLines="0" zoomScaleNormal="100" workbookViewId="0">
      <selection sqref="A1:I1"/>
    </sheetView>
  </sheetViews>
  <sheetFormatPr defaultColWidth="8.6640625" defaultRowHeight="14.4" x14ac:dyDescent="0.3"/>
  <cols>
    <col min="1" max="1" width="16" customWidth="1"/>
    <col min="2" max="2" width="10" customWidth="1"/>
    <col min="3" max="3" width="20" customWidth="1"/>
    <col min="4" max="4" width="22" customWidth="1"/>
    <col min="5" max="5" width="18" customWidth="1"/>
    <col min="6" max="7" width="22" customWidth="1"/>
    <col min="8" max="8" width="12" customWidth="1"/>
    <col min="9" max="9" width="55" customWidth="1"/>
  </cols>
  <sheetData>
    <row r="1" spans="1:9" ht="30" customHeight="1" x14ac:dyDescent="0.3">
      <c r="A1" s="6" t="s">
        <v>499</v>
      </c>
      <c r="B1" s="6"/>
      <c r="C1" s="6"/>
      <c r="D1" s="6"/>
      <c r="E1" s="6"/>
      <c r="F1" s="6"/>
      <c r="G1" s="6"/>
      <c r="H1" s="6"/>
      <c r="I1" s="6"/>
    </row>
    <row r="2" spans="1:9" x14ac:dyDescent="0.3">
      <c r="A2" s="68" t="s">
        <v>500</v>
      </c>
      <c r="B2" s="68"/>
      <c r="C2" s="68"/>
      <c r="D2" s="68"/>
      <c r="E2" s="68"/>
      <c r="F2" s="68"/>
      <c r="G2" s="68"/>
      <c r="H2" s="68"/>
      <c r="I2" s="68"/>
    </row>
    <row r="4" spans="1:9" x14ac:dyDescent="0.3">
      <c r="A4" s="28" t="s">
        <v>501</v>
      </c>
      <c r="B4" s="28" t="s">
        <v>502</v>
      </c>
      <c r="C4" s="28" t="s">
        <v>503</v>
      </c>
      <c r="D4" s="28" t="s">
        <v>504</v>
      </c>
      <c r="E4" s="28" t="s">
        <v>505</v>
      </c>
      <c r="F4" s="28" t="s">
        <v>506</v>
      </c>
      <c r="G4" s="28" t="s">
        <v>507</v>
      </c>
      <c r="H4" s="28" t="s">
        <v>508</v>
      </c>
      <c r="I4" s="28" t="s">
        <v>247</v>
      </c>
    </row>
    <row r="5" spans="1:9" ht="27.75" customHeight="1" x14ac:dyDescent="0.3">
      <c r="A5" s="42" t="s">
        <v>509</v>
      </c>
      <c r="B5" s="43" t="s">
        <v>510</v>
      </c>
      <c r="C5" s="42" t="s">
        <v>511</v>
      </c>
      <c r="D5" s="42" t="s">
        <v>512</v>
      </c>
      <c r="E5" s="43" t="s">
        <v>513</v>
      </c>
      <c r="F5" s="43" t="s">
        <v>513</v>
      </c>
      <c r="G5" s="43" t="s">
        <v>513</v>
      </c>
      <c r="H5" s="43" t="s">
        <v>514</v>
      </c>
      <c r="I5" s="42" t="s">
        <v>515</v>
      </c>
    </row>
    <row r="6" spans="1:9" ht="27.75" customHeight="1" x14ac:dyDescent="0.3">
      <c r="A6" s="44" t="s">
        <v>516</v>
      </c>
      <c r="B6" s="45" t="s">
        <v>517</v>
      </c>
      <c r="C6" s="44" t="s">
        <v>518</v>
      </c>
      <c r="D6" s="44" t="s">
        <v>519</v>
      </c>
      <c r="E6" s="45" t="s">
        <v>513</v>
      </c>
      <c r="F6" s="45" t="s">
        <v>513</v>
      </c>
      <c r="G6" s="45" t="s">
        <v>513</v>
      </c>
      <c r="H6" s="45" t="s">
        <v>514</v>
      </c>
      <c r="I6" s="44" t="s">
        <v>520</v>
      </c>
    </row>
    <row r="7" spans="1:9" ht="27.75" customHeight="1" x14ac:dyDescent="0.3">
      <c r="A7" s="42" t="s">
        <v>521</v>
      </c>
      <c r="B7" s="43" t="s">
        <v>522</v>
      </c>
      <c r="C7" s="42" t="s">
        <v>523</v>
      </c>
      <c r="D7" s="42" t="s">
        <v>524</v>
      </c>
      <c r="E7" s="43" t="s">
        <v>513</v>
      </c>
      <c r="F7" s="43" t="s">
        <v>513</v>
      </c>
      <c r="G7" s="43" t="s">
        <v>513</v>
      </c>
      <c r="H7" s="43" t="s">
        <v>514</v>
      </c>
      <c r="I7" s="42" t="s">
        <v>525</v>
      </c>
    </row>
    <row r="8" spans="1:9" ht="27.75" customHeight="1" x14ac:dyDescent="0.3">
      <c r="A8" s="44" t="s">
        <v>526</v>
      </c>
      <c r="B8" s="45" t="s">
        <v>527</v>
      </c>
      <c r="C8" s="44" t="s">
        <v>528</v>
      </c>
      <c r="D8" s="44" t="s">
        <v>529</v>
      </c>
      <c r="E8" s="45" t="s">
        <v>513</v>
      </c>
      <c r="F8" s="45" t="s">
        <v>513</v>
      </c>
      <c r="G8" s="45" t="s">
        <v>513</v>
      </c>
      <c r="H8" s="45" t="s">
        <v>514</v>
      </c>
      <c r="I8" s="44" t="s">
        <v>530</v>
      </c>
    </row>
    <row r="9" spans="1:9" ht="27.75" customHeight="1" x14ac:dyDescent="0.3">
      <c r="A9" s="42" t="s">
        <v>531</v>
      </c>
      <c r="B9" s="43" t="s">
        <v>532</v>
      </c>
      <c r="C9" s="42" t="s">
        <v>533</v>
      </c>
      <c r="D9" s="42" t="s">
        <v>534</v>
      </c>
      <c r="E9" s="43" t="s">
        <v>513</v>
      </c>
      <c r="F9" s="43" t="s">
        <v>513</v>
      </c>
      <c r="G9" s="43" t="s">
        <v>513</v>
      </c>
      <c r="H9" s="43" t="s">
        <v>514</v>
      </c>
      <c r="I9" s="42" t="s">
        <v>535</v>
      </c>
    </row>
    <row r="10" spans="1:9" ht="27.75" customHeight="1" x14ac:dyDescent="0.3">
      <c r="A10" s="44" t="s">
        <v>536</v>
      </c>
      <c r="B10" s="45" t="s">
        <v>537</v>
      </c>
      <c r="C10" s="44" t="s">
        <v>534</v>
      </c>
      <c r="D10" s="44" t="s">
        <v>534</v>
      </c>
      <c r="E10" s="45" t="s">
        <v>513</v>
      </c>
      <c r="F10" s="45" t="s">
        <v>513</v>
      </c>
      <c r="G10" s="45" t="s">
        <v>534</v>
      </c>
      <c r="H10" s="45" t="s">
        <v>514</v>
      </c>
      <c r="I10" s="44" t="s">
        <v>538</v>
      </c>
    </row>
    <row r="11" spans="1:9" ht="27.75" customHeight="1" x14ac:dyDescent="0.3">
      <c r="A11" s="42" t="s">
        <v>539</v>
      </c>
      <c r="B11" s="43" t="s">
        <v>540</v>
      </c>
      <c r="C11" s="42" t="s">
        <v>534</v>
      </c>
      <c r="D11" s="42" t="s">
        <v>534</v>
      </c>
      <c r="E11" s="43" t="s">
        <v>513</v>
      </c>
      <c r="F11" s="43" t="s">
        <v>513</v>
      </c>
      <c r="G11" s="43" t="s">
        <v>513</v>
      </c>
      <c r="H11" s="43" t="s">
        <v>514</v>
      </c>
      <c r="I11" s="42" t="s">
        <v>541</v>
      </c>
    </row>
    <row r="12" spans="1:9" ht="27.75" customHeight="1" x14ac:dyDescent="0.3">
      <c r="A12" s="44" t="s">
        <v>542</v>
      </c>
      <c r="B12" s="45" t="s">
        <v>543</v>
      </c>
      <c r="C12" s="44" t="s">
        <v>534</v>
      </c>
      <c r="D12" s="44" t="s">
        <v>534</v>
      </c>
      <c r="E12" s="45" t="s">
        <v>513</v>
      </c>
      <c r="F12" s="45" t="s">
        <v>513</v>
      </c>
      <c r="G12" s="45" t="s">
        <v>544</v>
      </c>
      <c r="H12" s="45" t="s">
        <v>514</v>
      </c>
      <c r="I12" s="44" t="s">
        <v>545</v>
      </c>
    </row>
    <row r="13" spans="1:9" ht="27.75" customHeight="1" x14ac:dyDescent="0.3">
      <c r="A13" s="42" t="s">
        <v>546</v>
      </c>
      <c r="B13" s="43" t="s">
        <v>547</v>
      </c>
      <c r="C13" s="42" t="s">
        <v>534</v>
      </c>
      <c r="D13" s="42" t="s">
        <v>534</v>
      </c>
      <c r="E13" s="43" t="s">
        <v>534</v>
      </c>
      <c r="F13" s="43" t="s">
        <v>534</v>
      </c>
      <c r="G13" s="43" t="s">
        <v>534</v>
      </c>
      <c r="H13" s="43" t="s">
        <v>548</v>
      </c>
      <c r="I13" s="42" t="s">
        <v>549</v>
      </c>
    </row>
    <row r="14" spans="1:9" ht="27.75" customHeight="1" x14ac:dyDescent="0.3">
      <c r="A14" s="44" t="s">
        <v>550</v>
      </c>
      <c r="B14" s="45" t="s">
        <v>551</v>
      </c>
      <c r="C14" s="44" t="s">
        <v>534</v>
      </c>
      <c r="D14" s="44" t="s">
        <v>534</v>
      </c>
      <c r="E14" s="45" t="s">
        <v>513</v>
      </c>
      <c r="F14" s="45" t="s">
        <v>534</v>
      </c>
      <c r="G14" s="45" t="s">
        <v>534</v>
      </c>
      <c r="H14" s="45" t="s">
        <v>552</v>
      </c>
      <c r="I14" s="44" t="s">
        <v>553</v>
      </c>
    </row>
    <row r="15" spans="1:9" ht="27.75" customHeight="1" x14ac:dyDescent="0.3">
      <c r="A15" s="42" t="s">
        <v>554</v>
      </c>
      <c r="B15" s="43" t="s">
        <v>555</v>
      </c>
      <c r="C15" s="42" t="s">
        <v>534</v>
      </c>
      <c r="D15" s="42" t="s">
        <v>534</v>
      </c>
      <c r="E15" s="43" t="s">
        <v>513</v>
      </c>
      <c r="F15" s="43" t="s">
        <v>534</v>
      </c>
      <c r="G15" s="43" t="s">
        <v>534</v>
      </c>
      <c r="H15" s="43" t="s">
        <v>552</v>
      </c>
      <c r="I15" s="42" t="s">
        <v>556</v>
      </c>
    </row>
    <row r="16" spans="1:9" ht="27.75" customHeight="1" x14ac:dyDescent="0.3">
      <c r="A16" s="44" t="s">
        <v>557</v>
      </c>
      <c r="B16" s="45" t="s">
        <v>558</v>
      </c>
      <c r="C16" s="44" t="s">
        <v>534</v>
      </c>
      <c r="D16" s="44" t="s">
        <v>534</v>
      </c>
      <c r="E16" s="45" t="s">
        <v>513</v>
      </c>
      <c r="F16" s="45" t="s">
        <v>534</v>
      </c>
      <c r="G16" s="45" t="s">
        <v>534</v>
      </c>
      <c r="H16" s="45" t="s">
        <v>552</v>
      </c>
      <c r="I16" s="44" t="s">
        <v>559</v>
      </c>
    </row>
    <row r="17" spans="1:9" ht="27.75" customHeight="1" x14ac:dyDescent="0.3">
      <c r="A17" s="42" t="s">
        <v>560</v>
      </c>
      <c r="B17" s="43" t="s">
        <v>561</v>
      </c>
      <c r="C17" s="42" t="s">
        <v>534</v>
      </c>
      <c r="D17" s="42" t="s">
        <v>534</v>
      </c>
      <c r="E17" s="43" t="s">
        <v>513</v>
      </c>
      <c r="F17" s="43" t="s">
        <v>534</v>
      </c>
      <c r="G17" s="43" t="s">
        <v>534</v>
      </c>
      <c r="H17" s="43" t="s">
        <v>552</v>
      </c>
      <c r="I17" s="42" t="s">
        <v>562</v>
      </c>
    </row>
    <row r="18" spans="1:9" ht="27.75" customHeight="1" x14ac:dyDescent="0.3">
      <c r="A18" s="44" t="s">
        <v>563</v>
      </c>
      <c r="B18" s="45" t="s">
        <v>564</v>
      </c>
      <c r="C18" s="44" t="s">
        <v>534</v>
      </c>
      <c r="D18" s="44" t="s">
        <v>534</v>
      </c>
      <c r="E18" s="45" t="s">
        <v>513</v>
      </c>
      <c r="F18" s="45" t="s">
        <v>534</v>
      </c>
      <c r="G18" s="45" t="s">
        <v>565</v>
      </c>
      <c r="H18" s="45" t="s">
        <v>552</v>
      </c>
      <c r="I18" s="44" t="s">
        <v>566</v>
      </c>
    </row>
    <row r="19" spans="1:9" ht="27.75" customHeight="1" x14ac:dyDescent="0.3">
      <c r="A19" s="42" t="s">
        <v>567</v>
      </c>
      <c r="B19" s="43" t="s">
        <v>568</v>
      </c>
      <c r="C19" s="42" t="s">
        <v>569</v>
      </c>
      <c r="D19" s="42" t="s">
        <v>534</v>
      </c>
      <c r="E19" s="43" t="s">
        <v>534</v>
      </c>
      <c r="F19" s="43" t="s">
        <v>534</v>
      </c>
      <c r="G19" s="43" t="s">
        <v>534</v>
      </c>
      <c r="H19" s="43" t="s">
        <v>552</v>
      </c>
      <c r="I19" s="42" t="s">
        <v>570</v>
      </c>
    </row>
    <row r="20" spans="1:9" ht="27.75" customHeight="1" x14ac:dyDescent="0.3">
      <c r="A20" s="44" t="s">
        <v>571</v>
      </c>
      <c r="B20" s="45" t="s">
        <v>572</v>
      </c>
      <c r="C20" s="44" t="s">
        <v>534</v>
      </c>
      <c r="D20" s="44" t="s">
        <v>534</v>
      </c>
      <c r="E20" s="45" t="s">
        <v>513</v>
      </c>
      <c r="F20" s="45" t="s">
        <v>513</v>
      </c>
      <c r="G20" s="45" t="s">
        <v>534</v>
      </c>
      <c r="H20" s="45" t="s">
        <v>552</v>
      </c>
      <c r="I20" s="44" t="s">
        <v>573</v>
      </c>
    </row>
    <row r="23" spans="1:9" x14ac:dyDescent="0.3">
      <c r="A23" s="71" t="s">
        <v>574</v>
      </c>
      <c r="B23" s="71"/>
    </row>
    <row r="24" spans="1:9" x14ac:dyDescent="0.3">
      <c r="A24" s="27" t="s">
        <v>575</v>
      </c>
      <c r="B24" s="27" t="s">
        <v>245</v>
      </c>
    </row>
    <row r="25" spans="1:9" x14ac:dyDescent="0.3">
      <c r="A25" s="16" t="s">
        <v>576</v>
      </c>
      <c r="B25" s="16" t="s">
        <v>577</v>
      </c>
    </row>
    <row r="26" spans="1:9" x14ac:dyDescent="0.3">
      <c r="A26" s="18" t="s">
        <v>578</v>
      </c>
      <c r="B26" s="18" t="s">
        <v>579</v>
      </c>
    </row>
    <row r="27" spans="1:9" x14ac:dyDescent="0.3">
      <c r="A27" s="16" t="s">
        <v>580</v>
      </c>
      <c r="B27" s="16" t="s">
        <v>581</v>
      </c>
    </row>
    <row r="28" spans="1:9" x14ac:dyDescent="0.3">
      <c r="A28" s="18" t="s">
        <v>582</v>
      </c>
      <c r="B28" s="18" t="s">
        <v>583</v>
      </c>
    </row>
    <row r="29" spans="1:9" x14ac:dyDescent="0.3">
      <c r="A29" s="16" t="s">
        <v>584</v>
      </c>
      <c r="B29" s="16" t="s">
        <v>585</v>
      </c>
    </row>
    <row r="30" spans="1:9" x14ac:dyDescent="0.3">
      <c r="A30" s="18" t="s">
        <v>586</v>
      </c>
      <c r="B30" s="18" t="s">
        <v>587</v>
      </c>
    </row>
    <row r="31" spans="1:9" x14ac:dyDescent="0.3">
      <c r="A31" s="16" t="s">
        <v>588</v>
      </c>
      <c r="B31" s="16" t="s">
        <v>589</v>
      </c>
    </row>
    <row r="32" spans="1:9" x14ac:dyDescent="0.3">
      <c r="A32" s="18" t="s">
        <v>590</v>
      </c>
      <c r="B32" s="18" t="s">
        <v>591</v>
      </c>
    </row>
    <row r="33" spans="1:3" x14ac:dyDescent="0.3">
      <c r="A33" s="71" t="s">
        <v>592</v>
      </c>
      <c r="B33" s="71"/>
    </row>
    <row r="34" spans="1:3" x14ac:dyDescent="0.3">
      <c r="A34" s="27" t="s">
        <v>593</v>
      </c>
      <c r="B34" s="27" t="s">
        <v>594</v>
      </c>
      <c r="C34" s="27" t="s">
        <v>595</v>
      </c>
    </row>
    <row r="35" spans="1:3" x14ac:dyDescent="0.3">
      <c r="A35" s="16" t="s">
        <v>596</v>
      </c>
      <c r="B35" s="16" t="s">
        <v>597</v>
      </c>
      <c r="C35" s="16" t="s">
        <v>598</v>
      </c>
    </row>
    <row r="36" spans="1:3" x14ac:dyDescent="0.3">
      <c r="A36" s="18" t="s">
        <v>599</v>
      </c>
      <c r="B36" s="18" t="s">
        <v>600</v>
      </c>
      <c r="C36" s="18" t="s">
        <v>601</v>
      </c>
    </row>
    <row r="37" spans="1:3" x14ac:dyDescent="0.3">
      <c r="A37" s="16" t="s">
        <v>602</v>
      </c>
      <c r="B37" s="16" t="s">
        <v>603</v>
      </c>
      <c r="C37" s="16" t="s">
        <v>604</v>
      </c>
    </row>
    <row r="38" spans="1:3" x14ac:dyDescent="0.3">
      <c r="A38" s="18" t="s">
        <v>605</v>
      </c>
      <c r="B38" s="18" t="s">
        <v>606</v>
      </c>
      <c r="C38" s="18" t="s">
        <v>607</v>
      </c>
    </row>
    <row r="39" spans="1:3" x14ac:dyDescent="0.3">
      <c r="A39" s="16" t="s">
        <v>506</v>
      </c>
      <c r="B39" s="16" t="s">
        <v>608</v>
      </c>
      <c r="C39" s="16" t="s">
        <v>609</v>
      </c>
    </row>
    <row r="40" spans="1:3" x14ac:dyDescent="0.3">
      <c r="A40" s="18" t="s">
        <v>610</v>
      </c>
      <c r="B40" s="18" t="s">
        <v>611</v>
      </c>
      <c r="C40" s="18" t="s">
        <v>612</v>
      </c>
    </row>
    <row r="41" spans="1:3" x14ac:dyDescent="0.3">
      <c r="A41" s="16" t="s">
        <v>613</v>
      </c>
      <c r="B41" s="16" t="s">
        <v>614</v>
      </c>
      <c r="C41" s="16" t="s">
        <v>615</v>
      </c>
    </row>
    <row r="42" spans="1:3" x14ac:dyDescent="0.3">
      <c r="A42" s="18" t="s">
        <v>616</v>
      </c>
      <c r="B42" s="18" t="s">
        <v>617</v>
      </c>
      <c r="C42" s="18" t="s">
        <v>618</v>
      </c>
    </row>
    <row r="43" spans="1:3" x14ac:dyDescent="0.3">
      <c r="A43" s="16" t="s">
        <v>619</v>
      </c>
      <c r="B43" s="16" t="s">
        <v>620</v>
      </c>
      <c r="C43" s="16" t="s">
        <v>621</v>
      </c>
    </row>
    <row r="44" spans="1:3" x14ac:dyDescent="0.3">
      <c r="A44" s="18" t="s">
        <v>622</v>
      </c>
      <c r="B44" s="18" t="s">
        <v>623</v>
      </c>
      <c r="C44" s="18" t="s">
        <v>624</v>
      </c>
    </row>
    <row r="45" spans="1:3" x14ac:dyDescent="0.3">
      <c r="A45" s="16" t="s">
        <v>625</v>
      </c>
      <c r="B45" s="16" t="s">
        <v>626</v>
      </c>
      <c r="C45" s="16" t="s">
        <v>627</v>
      </c>
    </row>
    <row r="46" spans="1:3" x14ac:dyDescent="0.3">
      <c r="A46" s="18" t="s">
        <v>628</v>
      </c>
      <c r="B46" s="18" t="s">
        <v>626</v>
      </c>
      <c r="C46" s="18" t="s">
        <v>629</v>
      </c>
    </row>
    <row r="47" spans="1:3" x14ac:dyDescent="0.3">
      <c r="A47" s="16" t="s">
        <v>630</v>
      </c>
      <c r="B47" s="16" t="s">
        <v>626</v>
      </c>
      <c r="C47" s="16" t="s">
        <v>631</v>
      </c>
    </row>
    <row r="48" spans="1:3" x14ac:dyDescent="0.3">
      <c r="A48" s="18" t="s">
        <v>632</v>
      </c>
      <c r="B48" s="18" t="s">
        <v>633</v>
      </c>
      <c r="C48" s="18" t="s">
        <v>624</v>
      </c>
    </row>
    <row r="49" spans="1:3" x14ac:dyDescent="0.3">
      <c r="A49" s="16" t="s">
        <v>634</v>
      </c>
      <c r="B49" s="16" t="s">
        <v>611</v>
      </c>
      <c r="C49" s="16" t="s">
        <v>635</v>
      </c>
    </row>
    <row r="50" spans="1:3" x14ac:dyDescent="0.3">
      <c r="A50" s="18" t="s">
        <v>636</v>
      </c>
      <c r="B50" s="18" t="s">
        <v>611</v>
      </c>
      <c r="C50" s="18" t="s">
        <v>637</v>
      </c>
    </row>
  </sheetData>
  <mergeCells count="4">
    <mergeCell ref="A1:I1"/>
    <mergeCell ref="A2:I2"/>
    <mergeCell ref="A23:B23"/>
    <mergeCell ref="A33:B33"/>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31"/>
  <sheetViews>
    <sheetView showGridLines="0" topLeftCell="A40" zoomScaleNormal="100" workbookViewId="0">
      <selection activeCell="C9" sqref="C9"/>
    </sheetView>
  </sheetViews>
  <sheetFormatPr defaultColWidth="8.6640625" defaultRowHeight="14.4" x14ac:dyDescent="0.3"/>
  <cols>
    <col min="1" max="1" width="28" customWidth="1"/>
    <col min="2" max="2" width="10" customWidth="1"/>
    <col min="3" max="3" width="75" customWidth="1"/>
    <col min="4" max="4" width="40" customWidth="1"/>
  </cols>
  <sheetData>
    <row r="1" spans="1:4" ht="30" customHeight="1" x14ac:dyDescent="0.3">
      <c r="A1" s="6" t="s">
        <v>638</v>
      </c>
      <c r="B1" s="6"/>
      <c r="C1" s="6"/>
      <c r="D1" s="6"/>
    </row>
    <row r="2" spans="1:4" x14ac:dyDescent="0.3">
      <c r="A2" s="68" t="s">
        <v>639</v>
      </c>
      <c r="B2" s="68"/>
      <c r="C2" s="68"/>
      <c r="D2" s="68"/>
    </row>
    <row r="4" spans="1:4" x14ac:dyDescent="0.3">
      <c r="A4" s="46" t="s">
        <v>418</v>
      </c>
      <c r="B4" s="46" t="s">
        <v>640</v>
      </c>
      <c r="C4" s="46" t="s">
        <v>641</v>
      </c>
      <c r="D4" s="46" t="s">
        <v>642</v>
      </c>
    </row>
    <row r="5" spans="1:4" ht="21.75" customHeight="1" x14ac:dyDescent="0.3">
      <c r="A5" s="47" t="s">
        <v>643</v>
      </c>
      <c r="B5" s="48">
        <v>2020</v>
      </c>
      <c r="C5" s="49" t="s">
        <v>644</v>
      </c>
      <c r="D5" s="48" t="s">
        <v>645</v>
      </c>
    </row>
    <row r="6" spans="1:4" ht="21.75" customHeight="1" x14ac:dyDescent="0.3">
      <c r="A6" s="47"/>
      <c r="B6" s="48">
        <v>2021</v>
      </c>
      <c r="C6" s="49" t="s">
        <v>646</v>
      </c>
      <c r="D6" s="48" t="s">
        <v>647</v>
      </c>
    </row>
    <row r="7" spans="1:4" ht="21.75" customHeight="1" x14ac:dyDescent="0.3">
      <c r="A7" s="47"/>
      <c r="B7" s="48">
        <v>2021</v>
      </c>
      <c r="C7" s="49" t="s">
        <v>648</v>
      </c>
      <c r="D7" s="48" t="s">
        <v>649</v>
      </c>
    </row>
    <row r="8" spans="1:4" ht="21.75" customHeight="1" x14ac:dyDescent="0.3">
      <c r="A8" s="47"/>
      <c r="B8" s="48">
        <v>2021</v>
      </c>
      <c r="C8" s="49" t="s">
        <v>650</v>
      </c>
      <c r="D8" s="48" t="s">
        <v>651</v>
      </c>
    </row>
    <row r="9" spans="1:4" ht="21.75" customHeight="1" x14ac:dyDescent="0.3">
      <c r="A9" s="50" t="s">
        <v>652</v>
      </c>
      <c r="B9" s="51">
        <v>2022</v>
      </c>
      <c r="C9" s="52" t="s">
        <v>653</v>
      </c>
      <c r="D9" s="51" t="s">
        <v>654</v>
      </c>
    </row>
    <row r="10" spans="1:4" ht="21.75" customHeight="1" x14ac:dyDescent="0.3">
      <c r="A10" s="50"/>
      <c r="B10" s="51">
        <v>2022</v>
      </c>
      <c r="C10" s="52" t="s">
        <v>655</v>
      </c>
      <c r="D10" s="51" t="s">
        <v>656</v>
      </c>
    </row>
    <row r="11" spans="1:4" ht="21.75" customHeight="1" x14ac:dyDescent="0.3">
      <c r="A11" s="50"/>
      <c r="B11" s="51">
        <v>2022</v>
      </c>
      <c r="C11" s="52" t="s">
        <v>657</v>
      </c>
      <c r="D11" s="51" t="s">
        <v>658</v>
      </c>
    </row>
    <row r="12" spans="1:4" ht="21.75" customHeight="1" x14ac:dyDescent="0.3">
      <c r="A12" s="50"/>
      <c r="B12" s="51">
        <v>2023</v>
      </c>
      <c r="C12" s="52" t="s">
        <v>659</v>
      </c>
      <c r="D12" s="51" t="s">
        <v>660</v>
      </c>
    </row>
    <row r="13" spans="1:4" ht="21.75" customHeight="1" x14ac:dyDescent="0.3">
      <c r="A13" s="50"/>
      <c r="B13" s="51">
        <v>2023</v>
      </c>
      <c r="C13" s="52" t="s">
        <v>661</v>
      </c>
      <c r="D13" s="51" t="s">
        <v>662</v>
      </c>
    </row>
    <row r="14" spans="1:4" ht="21.75" customHeight="1" x14ac:dyDescent="0.3">
      <c r="A14" s="50"/>
      <c r="B14" s="51">
        <v>2023</v>
      </c>
      <c r="C14" s="52" t="s">
        <v>663</v>
      </c>
      <c r="D14" s="51" t="s">
        <v>664</v>
      </c>
    </row>
    <row r="15" spans="1:4" ht="21.75" customHeight="1" x14ac:dyDescent="0.3">
      <c r="A15" s="50"/>
      <c r="B15" s="51">
        <v>2023</v>
      </c>
      <c r="C15" s="52" t="s">
        <v>665</v>
      </c>
      <c r="D15" s="51" t="s">
        <v>666</v>
      </c>
    </row>
    <row r="16" spans="1:4" ht="21.75" customHeight="1" x14ac:dyDescent="0.3">
      <c r="A16" s="50"/>
      <c r="B16" s="51">
        <v>2023</v>
      </c>
      <c r="C16" s="52" t="s">
        <v>667</v>
      </c>
      <c r="D16" s="51" t="s">
        <v>668</v>
      </c>
    </row>
    <row r="17" spans="1:4" ht="21.75" customHeight="1" x14ac:dyDescent="0.3">
      <c r="A17" s="53" t="s">
        <v>669</v>
      </c>
      <c r="B17" s="54">
        <v>2024</v>
      </c>
      <c r="C17" s="55" t="s">
        <v>670</v>
      </c>
      <c r="D17" s="54" t="s">
        <v>671</v>
      </c>
    </row>
    <row r="18" spans="1:4" ht="21.75" customHeight="1" x14ac:dyDescent="0.3">
      <c r="A18" s="53"/>
      <c r="B18" s="54">
        <v>2024</v>
      </c>
      <c r="C18" s="55" t="s">
        <v>672</v>
      </c>
      <c r="D18" s="54" t="s">
        <v>673</v>
      </c>
    </row>
    <row r="19" spans="1:4" ht="21.75" customHeight="1" x14ac:dyDescent="0.3">
      <c r="A19" s="53"/>
      <c r="B19" s="54">
        <v>2024</v>
      </c>
      <c r="C19" s="55" t="s">
        <v>674</v>
      </c>
      <c r="D19" s="54" t="s">
        <v>675</v>
      </c>
    </row>
    <row r="20" spans="1:4" ht="21.75" customHeight="1" x14ac:dyDescent="0.3">
      <c r="A20" s="53"/>
      <c r="B20" s="54">
        <v>2024</v>
      </c>
      <c r="C20" s="55" t="s">
        <v>676</v>
      </c>
      <c r="D20" s="54" t="s">
        <v>677</v>
      </c>
    </row>
    <row r="21" spans="1:4" ht="21.75" customHeight="1" x14ac:dyDescent="0.3">
      <c r="A21" s="53"/>
      <c r="B21" s="54">
        <v>2024</v>
      </c>
      <c r="C21" s="55" t="s">
        <v>678</v>
      </c>
      <c r="D21" s="54" t="s">
        <v>679</v>
      </c>
    </row>
    <row r="22" spans="1:4" ht="21.75" customHeight="1" x14ac:dyDescent="0.3">
      <c r="A22" s="53"/>
      <c r="B22" s="54">
        <v>2024</v>
      </c>
      <c r="C22" s="55" t="s">
        <v>680</v>
      </c>
      <c r="D22" s="54" t="s">
        <v>681</v>
      </c>
    </row>
    <row r="23" spans="1:4" ht="21.75" customHeight="1" x14ac:dyDescent="0.3">
      <c r="A23" s="53"/>
      <c r="B23" s="54">
        <v>2024</v>
      </c>
      <c r="C23" s="55" t="s">
        <v>682</v>
      </c>
      <c r="D23" s="54" t="s">
        <v>683</v>
      </c>
    </row>
    <row r="24" spans="1:4" ht="21.75" customHeight="1" x14ac:dyDescent="0.3">
      <c r="A24" s="53"/>
      <c r="B24" s="54">
        <v>2024</v>
      </c>
      <c r="C24" s="55" t="s">
        <v>684</v>
      </c>
      <c r="D24" s="54" t="s">
        <v>685</v>
      </c>
    </row>
    <row r="25" spans="1:4" ht="21.75" customHeight="1" x14ac:dyDescent="0.3">
      <c r="A25" s="53"/>
      <c r="B25" s="54">
        <v>2024</v>
      </c>
      <c r="C25" s="55" t="s">
        <v>686</v>
      </c>
      <c r="D25" s="54" t="s">
        <v>687</v>
      </c>
    </row>
    <row r="26" spans="1:4" ht="21.75" customHeight="1" x14ac:dyDescent="0.3">
      <c r="A26" s="53"/>
      <c r="B26" s="54">
        <v>2025</v>
      </c>
      <c r="C26" s="55" t="s">
        <v>688</v>
      </c>
      <c r="D26" s="54" t="s">
        <v>689</v>
      </c>
    </row>
    <row r="27" spans="1:4" ht="21.75" customHeight="1" x14ac:dyDescent="0.3">
      <c r="A27" s="53"/>
      <c r="B27" s="54">
        <v>2025</v>
      </c>
      <c r="C27" s="55" t="s">
        <v>690</v>
      </c>
      <c r="D27" s="54" t="s">
        <v>691</v>
      </c>
    </row>
    <row r="28" spans="1:4" ht="21.75" customHeight="1" x14ac:dyDescent="0.3">
      <c r="A28" s="53"/>
      <c r="B28" s="54">
        <v>2025</v>
      </c>
      <c r="C28" s="55" t="s">
        <v>692</v>
      </c>
      <c r="D28" s="54" t="s">
        <v>693</v>
      </c>
    </row>
    <row r="29" spans="1:4" ht="21.75" customHeight="1" x14ac:dyDescent="0.3">
      <c r="A29" s="53"/>
      <c r="B29" s="54">
        <v>2025</v>
      </c>
      <c r="C29" s="55" t="s">
        <v>694</v>
      </c>
      <c r="D29" s="54" t="s">
        <v>695</v>
      </c>
    </row>
    <row r="30" spans="1:4" ht="21.75" customHeight="1" x14ac:dyDescent="0.3">
      <c r="A30" s="53"/>
      <c r="B30" s="54">
        <v>2025</v>
      </c>
      <c r="C30" s="55" t="s">
        <v>696</v>
      </c>
      <c r="D30" s="54" t="s">
        <v>697</v>
      </c>
    </row>
    <row r="31" spans="1:4" ht="21.75" customHeight="1" x14ac:dyDescent="0.3">
      <c r="A31" s="53"/>
      <c r="B31" s="54">
        <v>2026</v>
      </c>
      <c r="C31" s="55" t="s">
        <v>698</v>
      </c>
      <c r="D31" s="54" t="s">
        <v>699</v>
      </c>
    </row>
  </sheetData>
  <mergeCells count="2">
    <mergeCell ref="A1:D1"/>
    <mergeCell ref="A2:D2"/>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3"/>
  <sheetViews>
    <sheetView showGridLines="0" zoomScaleNormal="100" workbookViewId="0">
      <selection sqref="A1:D1"/>
    </sheetView>
  </sheetViews>
  <sheetFormatPr defaultColWidth="8.6640625" defaultRowHeight="14.4" x14ac:dyDescent="0.3"/>
  <cols>
    <col min="1" max="1" width="28" customWidth="1"/>
    <col min="2" max="2" width="32" customWidth="1"/>
    <col min="3" max="4" width="50" customWidth="1"/>
  </cols>
  <sheetData>
    <row r="1" spans="1:4" ht="30" customHeight="1" x14ac:dyDescent="0.3">
      <c r="A1" s="6" t="s">
        <v>700</v>
      </c>
      <c r="B1" s="6"/>
      <c r="C1" s="6"/>
      <c r="D1" s="6"/>
    </row>
    <row r="2" spans="1:4" x14ac:dyDescent="0.3">
      <c r="A2" s="68" t="s">
        <v>701</v>
      </c>
      <c r="B2" s="68"/>
      <c r="C2" s="68"/>
      <c r="D2" s="68"/>
    </row>
    <row r="4" spans="1:4" x14ac:dyDescent="0.3">
      <c r="A4" s="28" t="s">
        <v>702</v>
      </c>
      <c r="B4" s="28" t="s">
        <v>703</v>
      </c>
      <c r="C4" s="28" t="s">
        <v>704</v>
      </c>
      <c r="D4" s="28" t="s">
        <v>705</v>
      </c>
    </row>
    <row r="5" spans="1:4" ht="64.5" customHeight="1" x14ac:dyDescent="0.3">
      <c r="A5" s="56" t="s">
        <v>706</v>
      </c>
      <c r="B5" s="30" t="s">
        <v>707</v>
      </c>
      <c r="C5" s="30" t="s">
        <v>708</v>
      </c>
      <c r="D5" s="30" t="s">
        <v>709</v>
      </c>
    </row>
    <row r="6" spans="1:4" ht="64.5" customHeight="1" x14ac:dyDescent="0.3">
      <c r="A6" s="57" t="s">
        <v>710</v>
      </c>
      <c r="B6" s="31" t="s">
        <v>711</v>
      </c>
      <c r="C6" s="31" t="s">
        <v>712</v>
      </c>
      <c r="D6" s="31" t="s">
        <v>713</v>
      </c>
    </row>
    <row r="7" spans="1:4" ht="64.5" customHeight="1" x14ac:dyDescent="0.3">
      <c r="A7" s="56" t="s">
        <v>714</v>
      </c>
      <c r="B7" s="30" t="s">
        <v>715</v>
      </c>
      <c r="C7" s="30" t="s">
        <v>716</v>
      </c>
      <c r="D7" s="30" t="s">
        <v>717</v>
      </c>
    </row>
    <row r="8" spans="1:4" ht="64.5" customHeight="1" x14ac:dyDescent="0.3">
      <c r="A8" s="57" t="s">
        <v>718</v>
      </c>
      <c r="B8" s="31" t="s">
        <v>719</v>
      </c>
      <c r="C8" s="31" t="s">
        <v>720</v>
      </c>
      <c r="D8" s="31" t="s">
        <v>721</v>
      </c>
    </row>
    <row r="9" spans="1:4" ht="64.5" customHeight="1" x14ac:dyDescent="0.3">
      <c r="A9" s="56" t="s">
        <v>722</v>
      </c>
      <c r="B9" s="30" t="s">
        <v>723</v>
      </c>
      <c r="C9" s="30" t="s">
        <v>724</v>
      </c>
      <c r="D9" s="30" t="s">
        <v>725</v>
      </c>
    </row>
    <row r="10" spans="1:4" ht="64.5" customHeight="1" x14ac:dyDescent="0.3">
      <c r="A10" s="57" t="s">
        <v>726</v>
      </c>
      <c r="B10" s="31" t="s">
        <v>727</v>
      </c>
      <c r="C10" s="31" t="s">
        <v>728</v>
      </c>
      <c r="D10" s="31" t="s">
        <v>729</v>
      </c>
    </row>
    <row r="11" spans="1:4" ht="64.5" customHeight="1" x14ac:dyDescent="0.3">
      <c r="A11" s="56" t="s">
        <v>730</v>
      </c>
      <c r="B11" s="30" t="s">
        <v>731</v>
      </c>
      <c r="C11" s="30" t="s">
        <v>732</v>
      </c>
      <c r="D11" s="30" t="s">
        <v>733</v>
      </c>
    </row>
    <row r="13" spans="1:4" ht="24.75" customHeight="1" x14ac:dyDescent="0.3">
      <c r="A13" s="70" t="s">
        <v>734</v>
      </c>
      <c r="B13" s="70"/>
      <c r="C13" s="70"/>
      <c r="D13" s="70"/>
    </row>
  </sheetData>
  <mergeCells count="3">
    <mergeCell ref="A1:D1"/>
    <mergeCell ref="A2:D2"/>
    <mergeCell ref="A13:D13"/>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0"/>
  <sheetViews>
    <sheetView showGridLines="0" zoomScaleNormal="100" workbookViewId="0">
      <selection sqref="A1:D1"/>
    </sheetView>
  </sheetViews>
  <sheetFormatPr defaultColWidth="8.6640625" defaultRowHeight="14.4" x14ac:dyDescent="0.3"/>
  <cols>
    <col min="1" max="1" width="22" customWidth="1"/>
    <col min="2" max="2" width="42" customWidth="1"/>
    <col min="3" max="4" width="48" customWidth="1"/>
  </cols>
  <sheetData>
    <row r="1" spans="1:4" ht="30" customHeight="1" x14ac:dyDescent="0.3">
      <c r="A1" s="6" t="s">
        <v>735</v>
      </c>
      <c r="B1" s="6"/>
      <c r="C1" s="6"/>
      <c r="D1" s="6"/>
    </row>
    <row r="2" spans="1:4" x14ac:dyDescent="0.3">
      <c r="A2" s="68" t="s">
        <v>736</v>
      </c>
      <c r="B2" s="68"/>
      <c r="C2" s="68"/>
      <c r="D2" s="68"/>
    </row>
    <row r="4" spans="1:4" x14ac:dyDescent="0.3">
      <c r="A4" s="28" t="s">
        <v>737</v>
      </c>
      <c r="B4" s="28" t="s">
        <v>738</v>
      </c>
      <c r="C4" s="28" t="s">
        <v>739</v>
      </c>
      <c r="D4" s="28" t="s">
        <v>740</v>
      </c>
    </row>
    <row r="5" spans="1:4" ht="64.5" customHeight="1" x14ac:dyDescent="0.3">
      <c r="A5" s="58" t="s">
        <v>193</v>
      </c>
      <c r="B5" s="30" t="s">
        <v>741</v>
      </c>
      <c r="C5" s="30" t="s">
        <v>742</v>
      </c>
      <c r="D5" s="30" t="s">
        <v>743</v>
      </c>
    </row>
    <row r="6" spans="1:4" ht="64.5" customHeight="1" x14ac:dyDescent="0.3">
      <c r="A6" s="59" t="s">
        <v>195</v>
      </c>
      <c r="B6" s="31" t="s">
        <v>744</v>
      </c>
      <c r="C6" s="31" t="s">
        <v>745</v>
      </c>
      <c r="D6" s="31" t="s">
        <v>746</v>
      </c>
    </row>
    <row r="7" spans="1:4" ht="64.5" customHeight="1" x14ac:dyDescent="0.3">
      <c r="A7" s="58" t="s">
        <v>197</v>
      </c>
      <c r="B7" s="30" t="s">
        <v>747</v>
      </c>
      <c r="C7" s="30" t="s">
        <v>748</v>
      </c>
      <c r="D7" s="30" t="s">
        <v>749</v>
      </c>
    </row>
    <row r="8" spans="1:4" ht="64.5" customHeight="1" x14ac:dyDescent="0.3">
      <c r="A8" s="59" t="s">
        <v>199</v>
      </c>
      <c r="B8" s="31" t="s">
        <v>750</v>
      </c>
      <c r="C8" s="31" t="s">
        <v>751</v>
      </c>
      <c r="D8" s="31" t="s">
        <v>752</v>
      </c>
    </row>
    <row r="10" spans="1:4" ht="30" customHeight="1" x14ac:dyDescent="0.3">
      <c r="A10" s="70" t="s">
        <v>753</v>
      </c>
      <c r="B10" s="70"/>
      <c r="C10" s="70"/>
      <c r="D10" s="70"/>
    </row>
  </sheetData>
  <mergeCells count="3">
    <mergeCell ref="A1:D1"/>
    <mergeCell ref="A2:D2"/>
    <mergeCell ref="A10:D10"/>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9"/>
  <sheetViews>
    <sheetView showGridLines="0" zoomScaleNormal="100" workbookViewId="0">
      <selection sqref="A1:C1"/>
    </sheetView>
  </sheetViews>
  <sheetFormatPr defaultColWidth="8.6640625" defaultRowHeight="14.4" x14ac:dyDescent="0.3"/>
  <cols>
    <col min="1" max="1" width="22" customWidth="1"/>
    <col min="2" max="2" width="48" customWidth="1"/>
    <col min="3" max="3" width="85" customWidth="1"/>
  </cols>
  <sheetData>
    <row r="1" spans="1:3" ht="34.5" customHeight="1" x14ac:dyDescent="0.3">
      <c r="A1" s="72" t="s">
        <v>754</v>
      </c>
      <c r="B1" s="72"/>
      <c r="C1" s="72"/>
    </row>
    <row r="2" spans="1:3" x14ac:dyDescent="0.3">
      <c r="A2" s="68" t="s">
        <v>755</v>
      </c>
      <c r="B2" s="68"/>
      <c r="C2" s="68"/>
    </row>
    <row r="4" spans="1:3" x14ac:dyDescent="0.3">
      <c r="A4" s="46" t="s">
        <v>756</v>
      </c>
      <c r="B4" s="46" t="s">
        <v>757</v>
      </c>
      <c r="C4" s="46" t="s">
        <v>758</v>
      </c>
    </row>
    <row r="5" spans="1:3" ht="49.5" customHeight="1" x14ac:dyDescent="0.3">
      <c r="A5" s="56" t="s">
        <v>759</v>
      </c>
      <c r="B5" s="30" t="s">
        <v>760</v>
      </c>
      <c r="C5" s="30" t="s">
        <v>761</v>
      </c>
    </row>
    <row r="6" spans="1:3" ht="49.5" customHeight="1" x14ac:dyDescent="0.3">
      <c r="A6" s="57" t="s">
        <v>762</v>
      </c>
      <c r="B6" s="31" t="s">
        <v>763</v>
      </c>
      <c r="C6" s="31" t="s">
        <v>764</v>
      </c>
    </row>
    <row r="7" spans="1:3" ht="49.5" customHeight="1" x14ac:dyDescent="0.3">
      <c r="A7" s="56" t="s">
        <v>765</v>
      </c>
      <c r="B7" s="30" t="s">
        <v>766</v>
      </c>
      <c r="C7" s="30" t="s">
        <v>767</v>
      </c>
    </row>
    <row r="8" spans="1:3" ht="49.5" customHeight="1" x14ac:dyDescent="0.3">
      <c r="A8" s="57" t="s">
        <v>768</v>
      </c>
      <c r="B8" s="31" t="s">
        <v>769</v>
      </c>
      <c r="C8" s="31" t="s">
        <v>770</v>
      </c>
    </row>
    <row r="9" spans="1:3" ht="49.5" customHeight="1" x14ac:dyDescent="0.3">
      <c r="A9" s="56" t="s">
        <v>771</v>
      </c>
      <c r="B9" s="30" t="s">
        <v>772</v>
      </c>
      <c r="C9" s="30" t="s">
        <v>773</v>
      </c>
    </row>
  </sheetData>
  <mergeCells count="2">
    <mergeCell ref="A1:C1"/>
    <mergeCell ref="A2:C2"/>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64"/>
  <sheetViews>
    <sheetView showGridLines="0" zoomScaleNormal="100" workbookViewId="0">
      <selection sqref="A1:E1"/>
    </sheetView>
  </sheetViews>
  <sheetFormatPr defaultColWidth="8.6640625" defaultRowHeight="14.4" x14ac:dyDescent="0.3"/>
  <cols>
    <col min="1" max="1" width="30" customWidth="1"/>
    <col min="2" max="2" width="12" customWidth="1"/>
    <col min="3" max="3" width="45" customWidth="1"/>
    <col min="4" max="4" width="15" customWidth="1"/>
    <col min="5" max="5" width="18" customWidth="1"/>
  </cols>
  <sheetData>
    <row r="1" spans="1:5" ht="30" customHeight="1" x14ac:dyDescent="0.3">
      <c r="A1" s="6" t="s">
        <v>774</v>
      </c>
      <c r="B1" s="6"/>
      <c r="C1" s="6"/>
      <c r="D1" s="6"/>
      <c r="E1" s="6"/>
    </row>
    <row r="2" spans="1:5" x14ac:dyDescent="0.3">
      <c r="A2" s="68" t="s">
        <v>775</v>
      </c>
      <c r="B2" s="68"/>
      <c r="C2" s="68"/>
      <c r="D2" s="68"/>
      <c r="E2" s="68"/>
    </row>
    <row r="3" spans="1:5" x14ac:dyDescent="0.3">
      <c r="A3" s="68" t="s">
        <v>776</v>
      </c>
      <c r="B3" s="68"/>
      <c r="C3" s="68"/>
      <c r="D3" s="68"/>
      <c r="E3" s="68"/>
    </row>
    <row r="5" spans="1:5" x14ac:dyDescent="0.3">
      <c r="A5" s="71" t="s">
        <v>777</v>
      </c>
      <c r="B5" s="71"/>
      <c r="C5" s="71"/>
      <c r="D5" s="71"/>
      <c r="E5" s="71"/>
    </row>
    <row r="6" spans="1:5" x14ac:dyDescent="0.3">
      <c r="A6" s="22" t="s">
        <v>778</v>
      </c>
    </row>
    <row r="7" spans="1:5" x14ac:dyDescent="0.3">
      <c r="A7" s="22" t="s">
        <v>779</v>
      </c>
    </row>
    <row r="8" spans="1:5" x14ac:dyDescent="0.3">
      <c r="A8" s="22" t="s">
        <v>780</v>
      </c>
    </row>
    <row r="9" spans="1:5" x14ac:dyDescent="0.3">
      <c r="A9" s="22" t="s">
        <v>781</v>
      </c>
    </row>
    <row r="10" spans="1:5" x14ac:dyDescent="0.3">
      <c r="A10" s="22" t="s">
        <v>782</v>
      </c>
    </row>
    <row r="12" spans="1:5" x14ac:dyDescent="0.3">
      <c r="A12" s="4" t="s">
        <v>783</v>
      </c>
      <c r="B12" s="4"/>
      <c r="C12" s="4"/>
      <c r="D12" s="4"/>
      <c r="E12" s="4"/>
    </row>
    <row r="13" spans="1:5" x14ac:dyDescent="0.3">
      <c r="A13" s="27" t="s">
        <v>68</v>
      </c>
      <c r="B13" s="27" t="s">
        <v>69</v>
      </c>
      <c r="C13" s="27" t="s">
        <v>784</v>
      </c>
      <c r="D13" s="27" t="s">
        <v>785</v>
      </c>
      <c r="E13" s="27" t="s">
        <v>786</v>
      </c>
    </row>
    <row r="14" spans="1:5" x14ac:dyDescent="0.3">
      <c r="A14" s="22" t="s">
        <v>72</v>
      </c>
      <c r="B14" s="60">
        <v>0.25</v>
      </c>
      <c r="C14" s="16"/>
      <c r="D14" s="16"/>
      <c r="E14" s="61">
        <f t="shared" ref="E14:E19" si="0">D14*B14</f>
        <v>0</v>
      </c>
    </row>
    <row r="15" spans="1:5" x14ac:dyDescent="0.3">
      <c r="A15" s="22" t="s">
        <v>77</v>
      </c>
      <c r="B15" s="60">
        <v>0.25</v>
      </c>
      <c r="C15" s="16"/>
      <c r="D15" s="16"/>
      <c r="E15" s="61">
        <f t="shared" si="0"/>
        <v>0</v>
      </c>
    </row>
    <row r="16" spans="1:5" x14ac:dyDescent="0.3">
      <c r="A16" s="22" t="s">
        <v>81</v>
      </c>
      <c r="B16" s="60">
        <v>0.15</v>
      </c>
      <c r="C16" s="16"/>
      <c r="D16" s="16"/>
      <c r="E16" s="61">
        <f t="shared" si="0"/>
        <v>0</v>
      </c>
    </row>
    <row r="17" spans="1:5" x14ac:dyDescent="0.3">
      <c r="A17" s="22" t="s">
        <v>86</v>
      </c>
      <c r="B17" s="60">
        <v>0.15</v>
      </c>
      <c r="C17" s="16"/>
      <c r="D17" s="16"/>
      <c r="E17" s="61">
        <f t="shared" si="0"/>
        <v>0</v>
      </c>
    </row>
    <row r="18" spans="1:5" x14ac:dyDescent="0.3">
      <c r="A18" s="22" t="s">
        <v>90</v>
      </c>
      <c r="B18" s="60">
        <v>0.1</v>
      </c>
      <c r="C18" s="16"/>
      <c r="D18" s="16"/>
      <c r="E18" s="61">
        <f t="shared" si="0"/>
        <v>0</v>
      </c>
    </row>
    <row r="19" spans="1:5" x14ac:dyDescent="0.3">
      <c r="A19" s="22" t="s">
        <v>95</v>
      </c>
      <c r="B19" s="60">
        <v>0.1</v>
      </c>
      <c r="C19" s="16"/>
      <c r="D19" s="16"/>
      <c r="E19" s="61">
        <f t="shared" si="0"/>
        <v>0</v>
      </c>
    </row>
    <row r="20" spans="1:5" x14ac:dyDescent="0.3">
      <c r="A20" s="29" t="s">
        <v>787</v>
      </c>
      <c r="B20" s="62"/>
      <c r="C20" s="62"/>
      <c r="D20" s="62"/>
      <c r="E20" s="63">
        <f>SUM(E14:E19)</f>
        <v>0</v>
      </c>
    </row>
    <row r="21" spans="1:5" x14ac:dyDescent="0.3">
      <c r="A21" s="22" t="s">
        <v>788</v>
      </c>
      <c r="E21" s="64">
        <f>E20/6</f>
        <v>0</v>
      </c>
    </row>
    <row r="23" spans="1:5" x14ac:dyDescent="0.3">
      <c r="A23" s="4" t="s">
        <v>789</v>
      </c>
      <c r="B23" s="4"/>
      <c r="C23" s="4"/>
      <c r="D23" s="4"/>
      <c r="E23" s="4"/>
    </row>
    <row r="24" spans="1:5" x14ac:dyDescent="0.3">
      <c r="A24" s="27" t="s">
        <v>68</v>
      </c>
      <c r="B24" s="27" t="s">
        <v>69</v>
      </c>
      <c r="C24" s="27" t="s">
        <v>784</v>
      </c>
      <c r="D24" s="27" t="s">
        <v>785</v>
      </c>
      <c r="E24" s="27" t="s">
        <v>786</v>
      </c>
    </row>
    <row r="25" spans="1:5" x14ac:dyDescent="0.3">
      <c r="A25" s="22" t="s">
        <v>100</v>
      </c>
      <c r="B25" s="60">
        <v>0.25</v>
      </c>
      <c r="C25" s="16"/>
      <c r="D25" s="16"/>
      <c r="E25" s="61">
        <f t="shared" ref="E25:E30" si="1">D25*B25</f>
        <v>0</v>
      </c>
    </row>
    <row r="26" spans="1:5" x14ac:dyDescent="0.3">
      <c r="A26" s="22" t="s">
        <v>104</v>
      </c>
      <c r="B26" s="60">
        <v>0.2</v>
      </c>
      <c r="C26" s="16"/>
      <c r="D26" s="16"/>
      <c r="E26" s="61">
        <f t="shared" si="1"/>
        <v>0</v>
      </c>
    </row>
    <row r="27" spans="1:5" x14ac:dyDescent="0.3">
      <c r="A27" s="22" t="s">
        <v>109</v>
      </c>
      <c r="B27" s="60">
        <v>0.2</v>
      </c>
      <c r="C27" s="16"/>
      <c r="D27" s="16"/>
      <c r="E27" s="61">
        <f t="shared" si="1"/>
        <v>0</v>
      </c>
    </row>
    <row r="28" spans="1:5" x14ac:dyDescent="0.3">
      <c r="A28" s="22" t="s">
        <v>113</v>
      </c>
      <c r="B28" s="60">
        <v>0.15</v>
      </c>
      <c r="C28" s="16"/>
      <c r="D28" s="16"/>
      <c r="E28" s="61">
        <f t="shared" si="1"/>
        <v>0</v>
      </c>
    </row>
    <row r="29" spans="1:5" x14ac:dyDescent="0.3">
      <c r="A29" s="22" t="s">
        <v>117</v>
      </c>
      <c r="B29" s="60">
        <v>0.1</v>
      </c>
      <c r="C29" s="16"/>
      <c r="D29" s="16"/>
      <c r="E29" s="61">
        <f t="shared" si="1"/>
        <v>0</v>
      </c>
    </row>
    <row r="30" spans="1:5" x14ac:dyDescent="0.3">
      <c r="A30" s="22" t="s">
        <v>121</v>
      </c>
      <c r="B30" s="60">
        <v>0.1</v>
      </c>
      <c r="C30" s="16"/>
      <c r="D30" s="16"/>
      <c r="E30" s="61">
        <f t="shared" si="1"/>
        <v>0</v>
      </c>
    </row>
    <row r="31" spans="1:5" x14ac:dyDescent="0.3">
      <c r="A31" s="29" t="s">
        <v>787</v>
      </c>
      <c r="B31" s="62"/>
      <c r="C31" s="62"/>
      <c r="D31" s="62"/>
      <c r="E31" s="63">
        <f>SUM(E25:E30)</f>
        <v>0</v>
      </c>
    </row>
    <row r="32" spans="1:5" x14ac:dyDescent="0.3">
      <c r="A32" s="22" t="s">
        <v>788</v>
      </c>
      <c r="E32" s="64">
        <f>E31/6</f>
        <v>0</v>
      </c>
    </row>
    <row r="34" spans="1:5" x14ac:dyDescent="0.3">
      <c r="A34" s="4" t="s">
        <v>790</v>
      </c>
      <c r="B34" s="4"/>
      <c r="C34" s="4"/>
      <c r="D34" s="4"/>
      <c r="E34" s="4"/>
    </row>
    <row r="35" spans="1:5" x14ac:dyDescent="0.3">
      <c r="A35" s="27" t="s">
        <v>68</v>
      </c>
      <c r="B35" s="27" t="s">
        <v>69</v>
      </c>
      <c r="C35" s="27" t="s">
        <v>784</v>
      </c>
      <c r="D35" s="27" t="s">
        <v>785</v>
      </c>
      <c r="E35" s="27" t="s">
        <v>786</v>
      </c>
    </row>
    <row r="36" spans="1:5" x14ac:dyDescent="0.3">
      <c r="A36" s="22" t="s">
        <v>126</v>
      </c>
      <c r="B36" s="60">
        <v>0.25</v>
      </c>
      <c r="C36" s="16"/>
      <c r="D36" s="16"/>
      <c r="E36" s="61">
        <f t="shared" ref="E36:E41" si="2">D36*B36</f>
        <v>0</v>
      </c>
    </row>
    <row r="37" spans="1:5" x14ac:dyDescent="0.3">
      <c r="A37" s="22" t="s">
        <v>130</v>
      </c>
      <c r="B37" s="60">
        <v>0.25</v>
      </c>
      <c r="C37" s="16"/>
      <c r="D37" s="16"/>
      <c r="E37" s="61">
        <f t="shared" si="2"/>
        <v>0</v>
      </c>
    </row>
    <row r="38" spans="1:5" x14ac:dyDescent="0.3">
      <c r="A38" s="22" t="s">
        <v>134</v>
      </c>
      <c r="B38" s="60">
        <v>0.2</v>
      </c>
      <c r="C38" s="16"/>
      <c r="D38" s="16"/>
      <c r="E38" s="61">
        <f t="shared" si="2"/>
        <v>0</v>
      </c>
    </row>
    <row r="39" spans="1:5" x14ac:dyDescent="0.3">
      <c r="A39" s="22" t="s">
        <v>138</v>
      </c>
      <c r="B39" s="60">
        <v>0.15</v>
      </c>
      <c r="C39" s="16"/>
      <c r="D39" s="16"/>
      <c r="E39" s="61">
        <f t="shared" si="2"/>
        <v>0</v>
      </c>
    </row>
    <row r="40" spans="1:5" x14ac:dyDescent="0.3">
      <c r="A40" s="22" t="s">
        <v>142</v>
      </c>
      <c r="B40" s="60">
        <v>0.1</v>
      </c>
      <c r="C40" s="16"/>
      <c r="D40" s="16"/>
      <c r="E40" s="61">
        <f t="shared" si="2"/>
        <v>0</v>
      </c>
    </row>
    <row r="41" spans="1:5" x14ac:dyDescent="0.3">
      <c r="A41" s="22" t="s">
        <v>146</v>
      </c>
      <c r="B41" s="60">
        <v>0.05</v>
      </c>
      <c r="C41" s="16"/>
      <c r="D41" s="16"/>
      <c r="E41" s="61">
        <f t="shared" si="2"/>
        <v>0</v>
      </c>
    </row>
    <row r="42" spans="1:5" x14ac:dyDescent="0.3">
      <c r="A42" s="29" t="s">
        <v>787</v>
      </c>
      <c r="B42" s="62"/>
      <c r="C42" s="62"/>
      <c r="D42" s="62"/>
      <c r="E42" s="63">
        <f>SUM(E36:E41)</f>
        <v>0</v>
      </c>
    </row>
    <row r="43" spans="1:5" x14ac:dyDescent="0.3">
      <c r="A43" s="22" t="s">
        <v>788</v>
      </c>
      <c r="E43" s="64">
        <f>E42/6</f>
        <v>0</v>
      </c>
    </row>
    <row r="45" spans="1:5" x14ac:dyDescent="0.3">
      <c r="A45" s="4" t="s">
        <v>791</v>
      </c>
      <c r="B45" s="4"/>
      <c r="C45" s="4"/>
      <c r="D45" s="4"/>
      <c r="E45" s="4"/>
    </row>
    <row r="46" spans="1:5" x14ac:dyDescent="0.3">
      <c r="A46" s="27" t="s">
        <v>68</v>
      </c>
      <c r="B46" s="27" t="s">
        <v>69</v>
      </c>
      <c r="C46" s="27" t="s">
        <v>784</v>
      </c>
      <c r="D46" s="27" t="s">
        <v>785</v>
      </c>
      <c r="E46" s="27" t="s">
        <v>786</v>
      </c>
    </row>
    <row r="47" spans="1:5" x14ac:dyDescent="0.3">
      <c r="A47" s="22" t="s">
        <v>152</v>
      </c>
      <c r="B47" s="60">
        <v>0.25</v>
      </c>
      <c r="C47" s="16"/>
      <c r="D47" s="16"/>
      <c r="E47" s="61">
        <f t="shared" ref="E47:E52" si="3">D47*B47</f>
        <v>0</v>
      </c>
    </row>
    <row r="48" spans="1:5" x14ac:dyDescent="0.3">
      <c r="A48" s="22" t="s">
        <v>156</v>
      </c>
      <c r="B48" s="60">
        <v>0.25</v>
      </c>
      <c r="C48" s="16"/>
      <c r="D48" s="16"/>
      <c r="E48" s="61">
        <f t="shared" si="3"/>
        <v>0</v>
      </c>
    </row>
    <row r="49" spans="1:5" x14ac:dyDescent="0.3">
      <c r="A49" s="22" t="s">
        <v>160</v>
      </c>
      <c r="B49" s="60">
        <v>0.2</v>
      </c>
      <c r="C49" s="16"/>
      <c r="D49" s="16"/>
      <c r="E49" s="61">
        <f t="shared" si="3"/>
        <v>0</v>
      </c>
    </row>
    <row r="50" spans="1:5" x14ac:dyDescent="0.3">
      <c r="A50" s="22" t="s">
        <v>164</v>
      </c>
      <c r="B50" s="60">
        <v>0.15</v>
      </c>
      <c r="C50" s="16"/>
      <c r="D50" s="16"/>
      <c r="E50" s="61">
        <f t="shared" si="3"/>
        <v>0</v>
      </c>
    </row>
    <row r="51" spans="1:5" x14ac:dyDescent="0.3">
      <c r="A51" s="22" t="s">
        <v>168</v>
      </c>
      <c r="B51" s="60">
        <v>0.1</v>
      </c>
      <c r="C51" s="16"/>
      <c r="D51" s="16"/>
      <c r="E51" s="61">
        <f t="shared" si="3"/>
        <v>0</v>
      </c>
    </row>
    <row r="52" spans="1:5" x14ac:dyDescent="0.3">
      <c r="A52" s="22" t="s">
        <v>172</v>
      </c>
      <c r="B52" s="60">
        <v>0.05</v>
      </c>
      <c r="C52" s="16"/>
      <c r="D52" s="16"/>
      <c r="E52" s="61">
        <f t="shared" si="3"/>
        <v>0</v>
      </c>
    </row>
    <row r="53" spans="1:5" x14ac:dyDescent="0.3">
      <c r="A53" s="29" t="s">
        <v>787</v>
      </c>
      <c r="B53" s="62"/>
      <c r="C53" s="62"/>
      <c r="D53" s="62"/>
      <c r="E53" s="63">
        <f>SUM(E47:E52)</f>
        <v>0</v>
      </c>
    </row>
    <row r="54" spans="1:5" x14ac:dyDescent="0.3">
      <c r="A54" s="22" t="s">
        <v>788</v>
      </c>
      <c r="E54" s="64">
        <f>E53/6</f>
        <v>0</v>
      </c>
    </row>
    <row r="56" spans="1:5" x14ac:dyDescent="0.3">
      <c r="A56" s="73" t="s">
        <v>792</v>
      </c>
      <c r="B56" s="73"/>
      <c r="C56" s="73"/>
      <c r="D56" s="73"/>
      <c r="E56" s="65">
        <f>AVERAGE(E21,E32,E43,E54)</f>
        <v>0</v>
      </c>
    </row>
    <row r="58" spans="1:5" x14ac:dyDescent="0.3">
      <c r="A58" s="71" t="s">
        <v>793</v>
      </c>
      <c r="B58" s="71"/>
      <c r="C58" s="71"/>
      <c r="D58" s="71"/>
      <c r="E58" s="71"/>
    </row>
    <row r="60" spans="1:5" x14ac:dyDescent="0.3">
      <c r="A60" s="71" t="s">
        <v>794</v>
      </c>
      <c r="B60" s="71"/>
      <c r="C60" s="71"/>
      <c r="D60" s="71"/>
      <c r="E60" s="71"/>
    </row>
    <row r="61" spans="1:5" x14ac:dyDescent="0.3">
      <c r="A61" s="66"/>
      <c r="B61" s="66" t="s">
        <v>795</v>
      </c>
      <c r="C61" s="66" t="s">
        <v>796</v>
      </c>
      <c r="D61" s="66" t="s">
        <v>797</v>
      </c>
    </row>
    <row r="62" spans="1:5" x14ac:dyDescent="0.3">
      <c r="A62" s="22" t="s">
        <v>779</v>
      </c>
    </row>
    <row r="63" spans="1:5" x14ac:dyDescent="0.3">
      <c r="A63" s="22" t="s">
        <v>780</v>
      </c>
    </row>
    <row r="64" spans="1:5" x14ac:dyDescent="0.3">
      <c r="A64" s="22" t="s">
        <v>798</v>
      </c>
    </row>
  </sheetData>
  <mergeCells count="11">
    <mergeCell ref="A60:E60"/>
    <mergeCell ref="A23:E23"/>
    <mergeCell ref="A34:E34"/>
    <mergeCell ref="A45:E45"/>
    <mergeCell ref="A56:D56"/>
    <mergeCell ref="A58:E58"/>
    <mergeCell ref="A1:E1"/>
    <mergeCell ref="A2:E2"/>
    <mergeCell ref="A3:E3"/>
    <mergeCell ref="A5:E5"/>
    <mergeCell ref="A12:E1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README</vt:lpstr>
      <vt:lpstr>CPST Rating Rubric</vt:lpstr>
      <vt:lpstr>Assessment Protocol</vt:lpstr>
      <vt:lpstr>Inter-Rater Reliability</vt:lpstr>
      <vt:lpstr>External Validation</vt:lpstr>
      <vt:lpstr>Case Study Results</vt:lpstr>
      <vt:lpstr>Dataset Coverage</vt:lpstr>
      <vt:lpstr>NLP Evolution</vt:lpstr>
      <vt:lpstr>Framework Comparison</vt:lpstr>
      <vt:lpstr>AI-AGI Capabilities</vt:lpstr>
      <vt:lpstr>Thinking Indicators</vt:lpstr>
      <vt:lpstr>Assessment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Administrator</cp:lastModifiedBy>
  <cp:revision>0</cp:revision>
  <dcterms:created xsi:type="dcterms:W3CDTF">2026-06-05T14:55:47Z</dcterms:created>
  <dcterms:modified xsi:type="dcterms:W3CDTF">2026-06-05T15:56:55Z</dcterms:modified>
  <dc:language>en-US</dc:language>
</cp:coreProperties>
</file>